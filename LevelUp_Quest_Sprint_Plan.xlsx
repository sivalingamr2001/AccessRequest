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print Backlog" sheetId="2" state="visible" r:id="rId4"/>
    <sheet name="Sprint Summary" sheetId="3" state="visible" r:id="rId5"/>
    <sheet name="Database Schema" sheetId="4" state="visible" r:id="rId6"/>
    <sheet name="RACI &amp; Team" sheetId="5" state="visible" r:id="rId7"/>
    <sheet name="Risk Register" sheetId="6" state="visible" r:id="rId8"/>
    <sheet name="Definition of Done" sheetId="7" state="visible" r:id="rId9"/>
    <sheet name="Learning Roadmap" sheetId="8" state="visible" r:id="rId10"/>
  </sheets>
  <definedNames>
    <definedName function="false" hidden="true" localSheetId="3" name="_xlnm._FilterDatabase" vbProcedure="false">'Database Schema'!$A$3:$D$21</definedName>
    <definedName function="false" hidden="true" localSheetId="4" name="_xlnm._FilterDatabase" vbProcedure="false">'RACI &amp; Team'!$A$3:$D$12</definedName>
    <definedName function="false" hidden="true" localSheetId="5" name="_xlnm._FilterDatabase" vbProcedure="false">'Risk Register'!$A$3:$I$11</definedName>
    <definedName function="false" hidden="true" localSheetId="1" name="_xlnm._FilterDatabase" vbProcedure="false">'Sprint Backlog'!$A$3:$P$121</definedName>
    <definedName function="false" hidden="true" localSheetId="2" name="_xlnm._FilterDatabase" vbProcedure="false">'Sprint Summary'!$A$3:$J$17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<sst xmlns="http://schemas.openxmlformats.org/spreadsheetml/2006/main" count="1397" uniqueCount="566">
  <si>
    <t xml:space="preserve">LevelUp Quest Platform — Sprint Planning Workbook</t>
  </si>
  <si>
    <t xml:space="preserve">Gamified Enterprise Learning Platform | React + .NET + Azure + Dynamics 365 CRM</t>
  </si>
  <si>
    <t xml:space="preserve">Project Vision</t>
  </si>
  <si>
    <t xml:space="preserve">A gamified enterprise learning platform where users complete quests, earn XP, level up, unlock skills, earn achievements, join guilds, fight boss battles, and track learning progress — integrated with Dynamics 365 CRM and deployed on Azure.</t>
  </si>
  <si>
    <t xml:space="preserve">Methodology</t>
  </si>
  <si>
    <t xml:space="preserve">Scrum — 14 Sprints (Sprint 0 through Sprint 13), 2-week sprint cadence recommended (~28 weeks total, roughly 7 months).</t>
  </si>
  <si>
    <t xml:space="preserve">Tech Stack</t>
  </si>
  <si>
    <t xml:space="preserve">Frontend: React + TypeScript.  Backend: ASP.NET Core Web API (Clean Architecture: API / Application / Domain / Infrastructure). Database: SQL Server / Azure SQL.  Cache: Redis.  CRM: Dynamics 365 / Dataverse.  Cloud: Azure App Service, Azure Storage, Key Vault, Service Bus, Application Insights.  CI/CD: Azure DevOps Pipelines.</t>
  </si>
  <si>
    <t xml:space="preserve">Recommended Delivery Approach</t>
  </si>
  <si>
    <t xml:space="preserve">Do not design everything upfront. Complete Sprint 0 and Sprint 1 first. Build, test, and deploy each sprint before moving to the next — this mirrors how successful product teams deliver software and builds practical experience across the full stack.</t>
  </si>
  <si>
    <t xml:space="preserve">How To Use This Workbook</t>
  </si>
  <si>
    <t xml:space="preserve">Sprint Summary = roadmap at a glance. Sprint Backlog = the working task tracker (update Status/% Complete/Actual Hours as work happens). Database Schema = all tables mapped to the sprint that creates them. RACI &amp; Team = role assignment. Risk Register = review every sprint planning &amp; retro. Definition of Done = the quality bar per story. Learning Roadmap = suggested study order.</t>
  </si>
  <si>
    <t xml:space="preserve">Color Legend</t>
  </si>
  <si>
    <t xml:space="preserve">Yellow-shaded cells are editable tracking fields (Status, % Complete, Actual Hours, Assignee, Notes). All other cells are the fixed plan — edit with care.</t>
  </si>
  <si>
    <t xml:space="preserve">KEY METRICS  (auto-calculated from Sprint Backlog)</t>
  </si>
  <si>
    <t xml:space="preserve">Total Sprints</t>
  </si>
  <si>
    <t xml:space="preserve">Total Epics</t>
  </si>
  <si>
    <t xml:space="preserve">Total User Stories</t>
  </si>
  <si>
    <t xml:space="preserve">Total Tasks</t>
  </si>
  <si>
    <t xml:space="preserve">Total Estimated Hours</t>
  </si>
  <si>
    <t xml:space="preserve">Total Story Points</t>
  </si>
  <si>
    <t xml:space="preserve">Tasks Completed</t>
  </si>
  <si>
    <t xml:space="preserve">% Complete</t>
  </si>
  <si>
    <t xml:space="preserve">Sprint Backlog — Full Task Tracker (118 Tasks)</t>
  </si>
  <si>
    <t xml:space="preserve">Yellow columns (Status, % Complete, Assignee, Actual Hours, Notes) are editable tracking fields.</t>
  </si>
  <si>
    <t xml:space="preserve">Sprint #</t>
  </si>
  <si>
    <t xml:space="preserve">Sprint Name</t>
  </si>
  <si>
    <t xml:space="preserve">Epic</t>
  </si>
  <si>
    <t xml:space="preserve">User Story ID</t>
  </si>
  <si>
    <t xml:space="preserve">User Story</t>
  </si>
  <si>
    <t xml:space="preserve">Task ID</t>
  </si>
  <si>
    <t xml:space="preserve">Task</t>
  </si>
  <si>
    <t xml:space="preserve">Category</t>
  </si>
  <si>
    <t xml:space="preserve">Priority</t>
  </si>
  <si>
    <t xml:space="preserve">Est. Hours</t>
  </si>
  <si>
    <t xml:space="preserve">Story Pts</t>
  </si>
  <si>
    <t xml:space="preserve">Status</t>
  </si>
  <si>
    <t xml:space="preserve">Assignee</t>
  </si>
  <si>
    <t xml:space="preserve">Actual Hours</t>
  </si>
  <si>
    <t xml:space="preserve">Notes</t>
  </si>
  <si>
    <t xml:space="preserve">Sprint 0 - Foundation</t>
  </si>
  <si>
    <t xml:space="preserve">Foundation &amp; Project Setup</t>
  </si>
  <si>
    <t xml:space="preserve">US-001</t>
  </si>
  <si>
    <t xml:space="preserve">As a developer, I want to create the solution structure, so that development can begin.</t>
  </si>
  <si>
    <t xml:space="preserve">T-001</t>
  </si>
  <si>
    <t xml:space="preserve">Create Git repository (mono-repo or multi-repo strategy decision)</t>
  </si>
  <si>
    <t xml:space="preserve">DevOps</t>
  </si>
  <si>
    <t xml:space="preserve">High</t>
  </si>
  <si>
    <t xml:space="preserve">Not Started</t>
  </si>
  <si>
    <t xml:space="preserve">T-002</t>
  </si>
  <si>
    <t xml:space="preserve">Create Azure DevOps project (Boards, Repos, Pipelines)</t>
  </si>
  <si>
    <t xml:space="preserve">T-003</t>
  </si>
  <si>
    <t xml:space="preserve">Scaffold React application (Vite/CRA + TypeScript template)</t>
  </si>
  <si>
    <t xml:space="preserve">Frontend</t>
  </si>
  <si>
    <t xml:space="preserve">T-004</t>
  </si>
  <si>
    <t xml:space="preserve">Scaffold .NET Web API (Clean Architecture: API/Application/Domain/Infrastructure)</t>
  </si>
  <si>
    <t xml:space="preserve">Backend</t>
  </si>
  <si>
    <t xml:space="preserve">T-005</t>
  </si>
  <si>
    <t xml:space="preserve">Provision SQL Server database (local + dev instance)</t>
  </si>
  <si>
    <t xml:space="preserve">Database</t>
  </si>
  <si>
    <t xml:space="preserve">T-006</t>
  </si>
  <si>
    <t xml:space="preserve">Configure Swagger / OpenAPI documentation</t>
  </si>
  <si>
    <t xml:space="preserve">Medium</t>
  </si>
  <si>
    <t xml:space="preserve">T-007</t>
  </si>
  <si>
    <t xml:space="preserve">Configure ESLint rules for frontend</t>
  </si>
  <si>
    <t xml:space="preserve">T-008</t>
  </si>
  <si>
    <t xml:space="preserve">Configure Prettier formatting</t>
  </si>
  <si>
    <t xml:space="preserve">T-009</t>
  </si>
  <si>
    <t xml:space="preserve">Configure Git branching strategy (GitFlow/trunk-based) + branch policies</t>
  </si>
  <si>
    <t xml:space="preserve">T-010</t>
  </si>
  <si>
    <t xml:space="preserve">Set up folder structure: /frontend, /backend, /database, /docs</t>
  </si>
  <si>
    <t xml:space="preserve">T-011</t>
  </si>
  <si>
    <t xml:space="preserve">Write project README and contribution guidelines</t>
  </si>
  <si>
    <t xml:space="preserve">Docs</t>
  </si>
  <si>
    <t xml:space="preserve">Low</t>
  </si>
  <si>
    <t xml:space="preserve">Sprint 1 - Authentication</t>
  </si>
  <si>
    <t xml:space="preserve">User Authentication</t>
  </si>
  <si>
    <t xml:space="preserve">US-002</t>
  </si>
  <si>
    <t xml:space="preserve">As a user, I want to register and log in, so that I can access the platform.</t>
  </si>
  <si>
    <t xml:space="preserve">T-012</t>
  </si>
  <si>
    <t xml:space="preserve">Create User entity + EF Core configuration</t>
  </si>
  <si>
    <t xml:space="preserve">T-013</t>
  </si>
  <si>
    <t xml:space="preserve">Create Role entity + EF Core configuration</t>
  </si>
  <si>
    <t xml:space="preserve">T-014</t>
  </si>
  <si>
    <t xml:space="preserve">Create RefreshToken entity + EF Core configuration</t>
  </si>
  <si>
    <t xml:space="preserve">T-015</t>
  </si>
  <si>
    <t xml:space="preserve">Create JWT service (token generation, validation, refresh logic)</t>
  </si>
  <si>
    <t xml:space="preserve">T-016</t>
  </si>
  <si>
    <t xml:space="preserve">Build Register/Login/RefreshToken API endpoints</t>
  </si>
  <si>
    <t xml:space="preserve">T-017</t>
  </si>
  <si>
    <t xml:space="preserve">Implement password hashing (BCrypt/Identity) + validation rules</t>
  </si>
  <si>
    <t xml:space="preserve">T-018</t>
  </si>
  <si>
    <t xml:space="preserve">Build Login Page (React)</t>
  </si>
  <si>
    <t xml:space="preserve">T-019</t>
  </si>
  <si>
    <t xml:space="preserve">Build Registration Page (React)</t>
  </si>
  <si>
    <t xml:space="preserve">T-020</t>
  </si>
  <si>
    <t xml:space="preserve">Build Forgot Password Page (React)</t>
  </si>
  <si>
    <t xml:space="preserve">T-021</t>
  </si>
  <si>
    <t xml:space="preserve">Create Users, Roles, UserRoles, RefreshTokens DB tables + migration</t>
  </si>
  <si>
    <t xml:space="preserve">T-022</t>
  </si>
  <si>
    <t xml:space="preserve">Implement route guards / protected routes on frontend</t>
  </si>
  <si>
    <t xml:space="preserve">T-023</t>
  </si>
  <si>
    <t xml:space="preserve">Unit tests: auth service, JWT service</t>
  </si>
  <si>
    <t xml:space="preserve">T-024</t>
  </si>
  <si>
    <t xml:space="preserve">QA: end-to-end auth flow testing (register → login → refresh)</t>
  </si>
  <si>
    <t xml:space="preserve">QA</t>
  </si>
  <si>
    <t xml:space="preserve">Sprint 2 - Character System</t>
  </si>
  <si>
    <t xml:space="preserve">Player Profile</t>
  </si>
  <si>
    <t xml:space="preserve">US-003</t>
  </si>
  <si>
    <t xml:space="preserve">As a player, I want to view my profile, so that I can track my progress.</t>
  </si>
  <si>
    <t xml:space="preserve">T-025</t>
  </si>
  <si>
    <t xml:space="preserve">Design XP/Level formula (L1=0, L2=100, L3=300, L4=600...)</t>
  </si>
  <si>
    <t xml:space="preserve">T-026</t>
  </si>
  <si>
    <t xml:space="preserve">Create PlayerProfiles + Ranks DB tables + migration</t>
  </si>
  <si>
    <t xml:space="preserve">T-027</t>
  </si>
  <si>
    <t xml:space="preserve">Build PlayerProfile API (get profile, XP, level, rank)</t>
  </si>
  <si>
    <t xml:space="preserve">T-028</t>
  </si>
  <si>
    <t xml:space="preserve">Build XP calculation &amp; level-up service</t>
  </si>
  <si>
    <t xml:space="preserve">T-029</t>
  </si>
  <si>
    <t xml:space="preserve">Build Avatar upload/selection feature</t>
  </si>
  <si>
    <t xml:space="preserve">T-030</t>
  </si>
  <si>
    <t xml:space="preserve">Build Profile Page UI: avatar, level, XP bar, rank</t>
  </si>
  <si>
    <t xml:space="preserve">T-031</t>
  </si>
  <si>
    <t xml:space="preserve">Build reusable XP Progress Bar component</t>
  </si>
  <si>
    <t xml:space="preserve">T-032</t>
  </si>
  <si>
    <t xml:space="preserve">Unit tests: XP/level formula edge cases</t>
  </si>
  <si>
    <t xml:space="preserve">Sprint 3 - Quest System</t>
  </si>
  <si>
    <t xml:space="preserve">Quest Management</t>
  </si>
  <si>
    <t xml:space="preserve">US-004</t>
  </si>
  <si>
    <t xml:space="preserve">As a player, I want to complete quests, so that I can gain XP.</t>
  </si>
  <si>
    <t xml:space="preserve">T-033</t>
  </si>
  <si>
    <t xml:space="preserve">Create Quests, QuestRewards, UserQuests DB tables + migration</t>
  </si>
  <si>
    <t xml:space="preserve">T-034</t>
  </si>
  <si>
    <t xml:space="preserve">Build Quest CRUD API (admin-managed quests)</t>
  </si>
  <si>
    <t xml:space="preserve">T-035</t>
  </si>
  <si>
    <t xml:space="preserve">Build Quest completion + reward-granting service (awards XP on completion)</t>
  </si>
  <si>
    <t xml:space="preserve">T-036</t>
  </si>
  <si>
    <t xml:space="preserve">Implement Daily Quest logic (reset cadence, tracking)</t>
  </si>
  <si>
    <t xml:space="preserve">T-037</t>
  </si>
  <si>
    <t xml:space="preserve">Implement Weekly Quest logic</t>
  </si>
  <si>
    <t xml:space="preserve">T-038</t>
  </si>
  <si>
    <t xml:space="preserve">Implement Monthly Quest logic</t>
  </si>
  <si>
    <t xml:space="preserve">T-039</t>
  </si>
  <si>
    <t xml:space="preserve">Build Quest Board UI (list, filter by daily/weekly/monthly)</t>
  </si>
  <si>
    <t xml:space="preserve">T-040</t>
  </si>
  <si>
    <t xml:space="preserve">Build Quest Detail + Complete Quest UI/interaction</t>
  </si>
  <si>
    <t xml:space="preserve">T-041</t>
  </si>
  <si>
    <t xml:space="preserve">Seed sample quest data (e.g., 'Build Login API' = 100 XP)</t>
  </si>
  <si>
    <t xml:space="preserve">T-042</t>
  </si>
  <si>
    <t xml:space="preserve">QA: quest completion + XP reward integration testing</t>
  </si>
  <si>
    <t xml:space="preserve">Sprint 4 - Skill Tree</t>
  </si>
  <si>
    <t xml:space="preserve">Skill Progression</t>
  </si>
  <si>
    <t xml:space="preserve">US-005</t>
  </si>
  <si>
    <t xml:space="preserve">As a player, I want skill progression, so that I can unlock advanced skills.</t>
  </si>
  <si>
    <t xml:space="preserve">T-043</t>
  </si>
  <si>
    <t xml:space="preserve">Create Skills, SkillNodes, UserSkills DB tables + migration</t>
  </si>
  <si>
    <t xml:space="preserve">T-044</t>
  </si>
  <si>
    <t xml:space="preserve">Define skill tree data for React, TypeScript, SQL, .NET, Azure, Dynamics</t>
  </si>
  <si>
    <t xml:space="preserve">T-045</t>
  </si>
  <si>
    <t xml:space="preserve">Build Skill Tree API (get tree, unlock node, prerequisites check)</t>
  </si>
  <si>
    <t xml:space="preserve">T-046</t>
  </si>
  <si>
    <t xml:space="preserve">Build Skill Unlock service (validates XP/prereqs before unlock)</t>
  </si>
  <si>
    <t xml:space="preserve">T-047</t>
  </si>
  <si>
    <t xml:space="preserve">Build interactive Skill Tree UI (visual node graph)</t>
  </si>
  <si>
    <t xml:space="preserve">T-048</t>
  </si>
  <si>
    <t xml:space="preserve">Build skill node detail/tooltip component</t>
  </si>
  <si>
    <t xml:space="preserve">T-049</t>
  </si>
  <si>
    <t xml:space="preserve">QA: prerequisite-locking logic testing</t>
  </si>
  <si>
    <t xml:space="preserve">Sprint 5 - Achievements</t>
  </si>
  <si>
    <t xml:space="preserve">Achievements</t>
  </si>
  <si>
    <t xml:space="preserve">US-006</t>
  </si>
  <si>
    <t xml:space="preserve">As a player, I want achievements, so that I feel rewarded.</t>
  </si>
  <si>
    <t xml:space="preserve">T-050</t>
  </si>
  <si>
    <t xml:space="preserve">Create Achievements, UserAchievements DB tables + migration</t>
  </si>
  <si>
    <t xml:space="preserve">T-051</t>
  </si>
  <si>
    <t xml:space="preserve">Build Achievement engine (rule-based triggers: first quest, XP milestones, etc.)</t>
  </si>
  <si>
    <t xml:space="preserve">T-052</t>
  </si>
  <si>
    <t xml:space="preserve">Build Achievement API (list, unlock, progress)</t>
  </si>
  <si>
    <t xml:space="preserve">T-053</t>
  </si>
  <si>
    <t xml:space="preserve">Seed achievements: First Quest, React Beginner, 1000 XP Earned, Azure Explorer, CRM Master</t>
  </si>
  <si>
    <t xml:space="preserve">T-054</t>
  </si>
  <si>
    <t xml:space="preserve">Build Achievements Gallery UI (locked/unlocked states)</t>
  </si>
  <si>
    <t xml:space="preserve">T-055</t>
  </si>
  <si>
    <t xml:space="preserve">Build achievement unlock toast/notification animation</t>
  </si>
  <si>
    <t xml:space="preserve">T-056</t>
  </si>
  <si>
    <t xml:space="preserve">Unit tests: achievement trigger rules</t>
  </si>
  <si>
    <t xml:space="preserve">Sprint 6 - Leaderboard</t>
  </si>
  <si>
    <t xml:space="preserve">Competition</t>
  </si>
  <si>
    <t xml:space="preserve">US-007</t>
  </si>
  <si>
    <t xml:space="preserve">As a player, I want rankings, so that I can compare my progress.</t>
  </si>
  <si>
    <t xml:space="preserve">T-057</t>
  </si>
  <si>
    <t xml:space="preserve">Design leaderboard query strategy (indexing for performance at scale)</t>
  </si>
  <si>
    <t xml:space="preserve">T-058</t>
  </si>
  <si>
    <t xml:space="preserve">Build Global Ranking API (paginated, cached)</t>
  </si>
  <si>
    <t xml:space="preserve">T-059</t>
  </si>
  <si>
    <t xml:space="preserve">Build Guild Ranking API</t>
  </si>
  <si>
    <t xml:space="preserve">T-060</t>
  </si>
  <si>
    <t xml:space="preserve">Build Weekly Ranking API (time-windowed XP)</t>
  </si>
  <si>
    <t xml:space="preserve">T-061</t>
  </si>
  <si>
    <t xml:space="preserve">Build Leaderboard UI (tabs: Global/Guild/Weekly)</t>
  </si>
  <si>
    <t xml:space="preserve">T-062</t>
  </si>
  <si>
    <t xml:space="preserve">Add Redis caching for leaderboard queries</t>
  </si>
  <si>
    <t xml:space="preserve">T-063</t>
  </si>
  <si>
    <t xml:space="preserve">Load testing: leaderboard under concurrent read load</t>
  </si>
  <si>
    <t xml:space="preserve">Sprint 7 - Guild System</t>
  </si>
  <si>
    <t xml:space="preserve">Teams</t>
  </si>
  <si>
    <t xml:space="preserve">US-008</t>
  </si>
  <si>
    <t xml:space="preserve">As a player, I want to join guilds, so that I can collaborate with others.</t>
  </si>
  <si>
    <t xml:space="preserve">T-064</t>
  </si>
  <si>
    <t xml:space="preserve">Create Guilds, GuildMembers, GuildEvents DB tables + migration</t>
  </si>
  <si>
    <t xml:space="preserve">T-065</t>
  </si>
  <si>
    <t xml:space="preserve">Build Guild CRUD API (create, join, leave, manage roles)</t>
  </si>
  <si>
    <t xml:space="preserve">T-066</t>
  </si>
  <si>
    <t xml:space="preserve">Build Guild Events API (schedule/track group activities)</t>
  </si>
  <si>
    <t xml:space="preserve">T-067</t>
  </si>
  <si>
    <t xml:space="preserve">Build Guild Directory / Search UI</t>
  </si>
  <si>
    <t xml:space="preserve">T-068</t>
  </si>
  <si>
    <t xml:space="preserve">Build Guild Detail Page UI (members, events, guild XP)</t>
  </si>
  <si>
    <t xml:space="preserve">T-069</t>
  </si>
  <si>
    <t xml:space="preserve">Build Create/Manage Guild UI (admin/leader controls)</t>
  </si>
  <si>
    <t xml:space="preserve">T-070</t>
  </si>
  <si>
    <t xml:space="preserve">QA: guild membership + permissions testing</t>
  </si>
  <si>
    <t xml:space="preserve">Sprint 8 - Boss Battles</t>
  </si>
  <si>
    <t xml:space="preserve">Major Challenges</t>
  </si>
  <si>
    <t xml:space="preserve">US-009</t>
  </si>
  <si>
    <t xml:space="preserve">As a player, I want boss battles, so that I can complete major challenges.</t>
  </si>
  <si>
    <t xml:space="preserve">T-071</t>
  </si>
  <si>
    <t xml:space="preserve">Design Boss Battle data model (multi-stage challenge, rewards, requirements)</t>
  </si>
  <si>
    <t xml:space="preserve">T-072</t>
  </si>
  <si>
    <t xml:space="preserve">Build Boss Battle API (start, progress, submit, complete)</t>
  </si>
  <si>
    <t xml:space="preserve">T-073</t>
  </si>
  <si>
    <t xml:space="preserve">Configure Boss 1: 'Build Full CRUD API' challenge content + validation</t>
  </si>
  <si>
    <t xml:space="preserve">T-074</t>
  </si>
  <si>
    <t xml:space="preserve">Configure Boss 2: 'Deploy to Azure' challenge content + validation</t>
  </si>
  <si>
    <t xml:space="preserve">T-075</t>
  </si>
  <si>
    <t xml:space="preserve">Configure Boss 3: 'Integrate Dynamics CRM' challenge content + validation</t>
  </si>
  <si>
    <t xml:space="preserve">T-076</t>
  </si>
  <si>
    <t xml:space="preserve">Build Boss Battle UI (challenge brief, submission, progress states)</t>
  </si>
  <si>
    <t xml:space="preserve">T-077</t>
  </si>
  <si>
    <t xml:space="preserve">Build Boss defeat celebration/reward UI</t>
  </si>
  <si>
    <t xml:space="preserve">T-078</t>
  </si>
  <si>
    <t xml:space="preserve">QA: boss battle end-to-end scenario testing</t>
  </si>
  <si>
    <t xml:space="preserve">Sprint 9 - Notifications</t>
  </si>
  <si>
    <t xml:space="preserve">Communication</t>
  </si>
  <si>
    <t xml:space="preserve">US-011</t>
  </si>
  <si>
    <t xml:space="preserve">As a player, I want to receive notifications, so that I stay informed of progress and events.</t>
  </si>
  <si>
    <t xml:space="preserve">T-079</t>
  </si>
  <si>
    <t xml:space="preserve">Provision Azure Communication Services (email)</t>
  </si>
  <si>
    <t xml:space="preserve">Infra</t>
  </si>
  <si>
    <t xml:space="preserve">T-080</t>
  </si>
  <si>
    <t xml:space="preserve">Provision Azure Service Bus (async messaging/queues)</t>
  </si>
  <si>
    <t xml:space="preserve">T-081</t>
  </si>
  <si>
    <t xml:space="preserve">Build Notification service (event-driven: quest complete, level up, achievement)</t>
  </si>
  <si>
    <t xml:space="preserve">T-082</t>
  </si>
  <si>
    <t xml:space="preserve">Build Email notification templates + sending pipeline</t>
  </si>
  <si>
    <t xml:space="preserve">T-083</t>
  </si>
  <si>
    <t xml:space="preserve">Build In-App Notification API + data model</t>
  </si>
  <si>
    <t xml:space="preserve">T-084</t>
  </si>
  <si>
    <t xml:space="preserve">Build In-App Notification Center UI (bell icon, list, mark-read)</t>
  </si>
  <si>
    <t xml:space="preserve">T-085</t>
  </si>
  <si>
    <t xml:space="preserve">Implement Push Notifications (web push / mobile-ready)</t>
  </si>
  <si>
    <t xml:space="preserve">T-086</t>
  </si>
  <si>
    <t xml:space="preserve">QA: notification delivery + reliability testing</t>
  </si>
  <si>
    <t xml:space="preserve">Sprint 10 - Dynamics 365 CRM</t>
  </si>
  <si>
    <t xml:space="preserve">CRM Integration</t>
  </si>
  <si>
    <t xml:space="preserve">US-010</t>
  </si>
  <si>
    <t xml:space="preserve">As an administrator, I want player data synchronized to CRM, so that progress can be managed centrally.</t>
  </si>
  <si>
    <t xml:space="preserve">T-087</t>
  </si>
  <si>
    <t xml:space="preserve">Design Dataverse schema: Players, Skills, Achievements, LearningProgress tables</t>
  </si>
  <si>
    <t xml:space="preserve">T-088</t>
  </si>
  <si>
    <t xml:space="preserve">Set up Dynamics 365 / Dataverse environment + service principal auth</t>
  </si>
  <si>
    <t xml:space="preserve">T-089</t>
  </si>
  <si>
    <t xml:space="preserve">Build Contact Sync integration (player → CRM Contact)</t>
  </si>
  <si>
    <t xml:space="preserve">T-090</t>
  </si>
  <si>
    <t xml:space="preserve">Build Achievement Sync integration (achievements → Dataverse)</t>
  </si>
  <si>
    <t xml:space="preserve">T-091</t>
  </si>
  <si>
    <t xml:space="preserve">Build Learning Journey Tracking sync (progress → Dataverse)</t>
  </si>
  <si>
    <t xml:space="preserve">T-092</t>
  </si>
  <si>
    <t xml:space="preserve">Implement sync error handling, retry logic, and conflict resolution</t>
  </si>
  <si>
    <t xml:space="preserve">T-093</t>
  </si>
  <si>
    <t xml:space="preserve">Build Admin CRM Sync Dashboard (status, last sync, errors)</t>
  </si>
  <si>
    <t xml:space="preserve">T-094</t>
  </si>
  <si>
    <t xml:space="preserve">Integration testing: end-to-end CRM sync scenarios</t>
  </si>
  <si>
    <t xml:space="preserve">Sprint 11 - Analytics</t>
  </si>
  <si>
    <t xml:space="preserve">Reporting</t>
  </si>
  <si>
    <t xml:space="preserve">US-012</t>
  </si>
  <si>
    <t xml:space="preserve">As a stakeholder, I want analytics dashboards, so that I can measure learning outcomes.</t>
  </si>
  <si>
    <t xml:space="preserve">T-095</t>
  </si>
  <si>
    <t xml:space="preserve">Build Analytics API: XP Growth over time</t>
  </si>
  <si>
    <t xml:space="preserve">T-096</t>
  </si>
  <si>
    <t xml:space="preserve">Build Analytics API: Learning Progress by skill/topic</t>
  </si>
  <si>
    <t xml:space="preserve">T-097</t>
  </si>
  <si>
    <t xml:space="preserve">Build Analytics API: Skill Growth trends</t>
  </si>
  <si>
    <t xml:space="preserve">T-098</t>
  </si>
  <si>
    <t xml:space="preserve">Build Analytics API: Quest/Course Completion Rate</t>
  </si>
  <si>
    <t xml:space="preserve">T-099</t>
  </si>
  <si>
    <t xml:space="preserve">Build Recharts dashboard UI in React app</t>
  </si>
  <si>
    <t xml:space="preserve">T-100</t>
  </si>
  <si>
    <t xml:space="preserve">Set up Power BI integration/embedded reports</t>
  </si>
  <si>
    <t xml:space="preserve">BI</t>
  </si>
  <si>
    <t xml:space="preserve">T-101</t>
  </si>
  <si>
    <t xml:space="preserve">QA: validate analytics data accuracy against source data</t>
  </si>
  <si>
    <t xml:space="preserve">Sprint 12 - Azure Deployment</t>
  </si>
  <si>
    <t xml:space="preserve">Cloud Deployment</t>
  </si>
  <si>
    <t xml:space="preserve">US-013</t>
  </si>
  <si>
    <t xml:space="preserve">As a DevOps engineer, I want automated cloud deployment, so that releases are fast and reliable.</t>
  </si>
  <si>
    <t xml:space="preserve">T-102</t>
  </si>
  <si>
    <t xml:space="preserve">Provision Azure App Service (frontend + backend hosting)</t>
  </si>
  <si>
    <t xml:space="preserve">T-103</t>
  </si>
  <si>
    <t xml:space="preserve">Provision Azure SQL (production database)</t>
  </si>
  <si>
    <t xml:space="preserve">T-104</t>
  </si>
  <si>
    <t xml:space="preserve">Provision Azure Storage (avatars, assets, file uploads)</t>
  </si>
  <si>
    <t xml:space="preserve">T-105</t>
  </si>
  <si>
    <t xml:space="preserve">Configure Azure Key Vault (secrets management)</t>
  </si>
  <si>
    <t xml:space="preserve">T-106</t>
  </si>
  <si>
    <t xml:space="preserve">Configure Application Insights (monitoring/telemetry)</t>
  </si>
  <si>
    <t xml:space="preserve">T-107</t>
  </si>
  <si>
    <t xml:space="preserve">Build Azure DevOps CI pipeline (build, test, lint)</t>
  </si>
  <si>
    <t xml:space="preserve">T-108</t>
  </si>
  <si>
    <t xml:space="preserve">Build Azure DevOps CD pipeline (automated deployment to Dev/Staging/Prod)</t>
  </si>
  <si>
    <t xml:space="preserve">T-109</t>
  </si>
  <si>
    <t xml:space="preserve">Configure environment-specific app settings/secrets</t>
  </si>
  <si>
    <t xml:space="preserve">T-110</t>
  </si>
  <si>
    <t xml:space="preserve">Production smoke testing + rollback plan validation</t>
  </si>
  <si>
    <t xml:space="preserve">Sprint 13 - Enterprise Hardening</t>
  </si>
  <si>
    <t xml:space="preserve">Enterprise Features</t>
  </si>
  <si>
    <t xml:space="preserve">US-014</t>
  </si>
  <si>
    <t xml:space="preserve">As a platform owner, I want enterprise-grade reliability and security, so that the platform is production-ready.</t>
  </si>
  <si>
    <t xml:space="preserve">T-111</t>
  </si>
  <si>
    <t xml:space="preserve">Create AuditLogs table + audit logging middleware</t>
  </si>
  <si>
    <t xml:space="preserve">T-112</t>
  </si>
  <si>
    <t xml:space="preserve">Implement Redis caching layer across hot endpoints</t>
  </si>
  <si>
    <t xml:space="preserve">T-113</t>
  </si>
  <si>
    <t xml:space="preserve">Expand Application Insights monitoring: custom metrics, alerts</t>
  </si>
  <si>
    <t xml:space="preserve">T-114</t>
  </si>
  <si>
    <t xml:space="preserve">Implement API rate limiting</t>
  </si>
  <si>
    <t xml:space="preserve">T-115</t>
  </si>
  <si>
    <t xml:space="preserve">Run OWASP Top 10 security review + remediation</t>
  </si>
  <si>
    <t xml:space="preserve">Security</t>
  </si>
  <si>
    <t xml:space="preserve">T-116</t>
  </si>
  <si>
    <t xml:space="preserve">Implement security headers (CSP, HSTS, X-Frame-Options, etc.)</t>
  </si>
  <si>
    <t xml:space="preserve">T-117</t>
  </si>
  <si>
    <t xml:space="preserve">Full regression test pass across all modules</t>
  </si>
  <si>
    <t xml:space="preserve">T-118</t>
  </si>
  <si>
    <t xml:space="preserve">Final UAT sign-off + go-live checklist</t>
  </si>
  <si>
    <t xml:space="preserve">PM</t>
  </si>
  <si>
    <t xml:space="preserve">TOTALS</t>
  </si>
  <si>
    <t xml:space="preserve">(118 tasks)</t>
  </si>
  <si>
    <t xml:space="preserve">Sprint Summary — Roadmap At A Glance</t>
  </si>
  <si>
    <t xml:space="preserve">14 Sprints | Suggested cadence: 2 weeks per sprint (~28 weeks total)</t>
  </si>
  <si>
    <t xml:space="preserve">Epic Focus</t>
  </si>
  <si>
    <t xml:space="preserve"># Tasks</t>
  </si>
  <si>
    <t xml:space="preserve">Story Points</t>
  </si>
  <si>
    <t xml:space="preserve">Tasks Done</t>
  </si>
  <si>
    <t xml:space="preserve">Suggested Duration</t>
  </si>
  <si>
    <t xml:space="preserve">Sprint Goal / Definition of Done</t>
  </si>
  <si>
    <t xml:space="preserve">1 week</t>
  </si>
  <si>
    <t xml:space="preserve">Repo, Azure DevOps project, React app, .NET Web API, SQL DB, linting/formatting, and branching strategy are all in place and buildable.</t>
  </si>
  <si>
    <t xml:space="preserve">2 weeks</t>
  </si>
  <si>
    <t xml:space="preserve">A user can register, log in, refresh a JWT, and reset a forgotten password end-to-end; auth unit tests and E2E tests pass in CI.</t>
  </si>
  <si>
    <t xml:space="preserve">A player can view their profile with avatar, level, XP bar, and rank; XP/level formula is unit-tested and matches spec.</t>
  </si>
  <si>
    <t xml:space="preserve">Players can view and complete daily/weekly/monthly quests and receive correct XP rewards; quest board is fully functional.</t>
  </si>
  <si>
    <t xml:space="preserve">Players can view an interactive skill tree for React/TypeScript/SQL/.NET/Azure/Dynamics and unlock nodes when prerequisites are met.</t>
  </si>
  <si>
    <t xml:space="preserve">Achievement engine triggers correctly on defined events; players see unlocked/locked achievements with unlock animations.</t>
  </si>
  <si>
    <t xml:space="preserve">Global, guild, and weekly leaderboards return correct, cached, and performant rankings under load.</t>
  </si>
  <si>
    <t xml:space="preserve">Players can create, search, join, and leave guilds; guild events and guild-level XP tracking work correctly.</t>
  </si>
  <si>
    <t xml:space="preserve">All 3 boss battles (Full CRUD API, Deploy to Azure, Integrate Dynamics CRM) are playable end-to-end with correct validation and rewards.</t>
  </si>
  <si>
    <t xml:space="preserve">Email, in-app, and push notifications fire reliably on key events (quest complete, level up, achievement unlocked).</t>
  </si>
  <si>
    <t xml:space="preserve">3 weeks</t>
  </si>
  <si>
    <t xml:space="preserve">Player, achievement, and learning-progress data sync reliably to Dataverse with error handling, retries, and an admin sync dashboard.</t>
  </si>
  <si>
    <t xml:space="preserve">XP growth, learning progress, skill growth, and completion-rate dashboards are live in-app (Recharts) and in Power BI, with validated data accuracy.</t>
  </si>
  <si>
    <t xml:space="preserve">Application is deployed to Azure (App Service, SQL, Storage, Key Vault, App Insights) via a working CI/CD pipeline with passing smoke tests.</t>
  </si>
  <si>
    <t xml:space="preserve">Audit logging, Redis caching, rate limiting, and OWASP Top 10 remediation are complete; full regression suite passes and UAT is signed off.</t>
  </si>
  <si>
    <t xml:space="preserve">GRAND TOTAL</t>
  </si>
  <si>
    <t xml:space="preserve">Database Schema — Table Inventory by Sprint</t>
  </si>
  <si>
    <t xml:space="preserve">Sprint Introduced</t>
  </si>
  <si>
    <t xml:space="preserve">Table Name</t>
  </si>
  <si>
    <t xml:space="preserve">Purpose</t>
  </si>
  <si>
    <t xml:space="preserve">Key Relationships</t>
  </si>
  <si>
    <t xml:space="preserve">Users</t>
  </si>
  <si>
    <t xml:space="preserve">Core user account record (email, password hash, status)</t>
  </si>
  <si>
    <t xml:space="preserve">1:N RefreshTokens, N:N Roles via UserRoles, 1:1 PlayerProfiles</t>
  </si>
  <si>
    <t xml:space="preserve">Roles</t>
  </si>
  <si>
    <t xml:space="preserve">Application roles (Player, Admin, GuildLeader, etc.)</t>
  </si>
  <si>
    <t xml:space="preserve">N:N Users via UserRoles</t>
  </si>
  <si>
    <t xml:space="preserve">UserRoles</t>
  </si>
  <si>
    <t xml:space="preserve">Join table between Users and Roles</t>
  </si>
  <si>
    <t xml:space="preserve">FK → Users, FK → Roles</t>
  </si>
  <si>
    <t xml:space="preserve">RefreshTokens</t>
  </si>
  <si>
    <t xml:space="preserve">Active/expired JWT refresh tokens per user</t>
  </si>
  <si>
    <t xml:space="preserve">FK → Users</t>
  </si>
  <si>
    <t xml:space="preserve">PlayerProfiles</t>
  </si>
  <si>
    <t xml:space="preserve">Avatar, current level, XP, rank per player</t>
  </si>
  <si>
    <t xml:space="preserve">FK → Users, FK → Ranks</t>
  </si>
  <si>
    <t xml:space="preserve">Ranks</t>
  </si>
  <si>
    <t xml:space="preserve">Rank tiers (e.g., Bronze/Silver/Gold) tied to level/XP thresholds</t>
  </si>
  <si>
    <t xml:space="preserve">Referenced by PlayerProfiles</t>
  </si>
  <si>
    <t xml:space="preserve">Quests</t>
  </si>
  <si>
    <t xml:space="preserve">Quest definitions (title, type: daily/weekly/monthly, description)</t>
  </si>
  <si>
    <t xml:space="preserve">1:N QuestRewards, 1:N UserQuests</t>
  </si>
  <si>
    <t xml:space="preserve">QuestRewards</t>
  </si>
  <si>
    <t xml:space="preserve">XP/item rewards tied to a quest</t>
  </si>
  <si>
    <t xml:space="preserve">FK → Quests</t>
  </si>
  <si>
    <t xml:space="preserve">UserQuests</t>
  </si>
  <si>
    <t xml:space="preserve">Tracks a user's progress/completion on a quest</t>
  </si>
  <si>
    <t xml:space="preserve">FK → Users, FK → Quests</t>
  </si>
  <si>
    <t xml:space="preserve">Skills</t>
  </si>
  <si>
    <t xml:space="preserve">Skill categories (React, TypeScript, SQL, .NET, Azure, Dynamics)</t>
  </si>
  <si>
    <t xml:space="preserve">1:N SkillNodes</t>
  </si>
  <si>
    <t xml:space="preserve">SkillNodes</t>
  </si>
  <si>
    <t xml:space="preserve">Individual unlockable nodes within a skill tree, with prerequisites</t>
  </si>
  <si>
    <t xml:space="preserve">FK → Skills, self-referencing prerequisite FK</t>
  </si>
  <si>
    <t xml:space="preserve">UserSkills</t>
  </si>
  <si>
    <t xml:space="preserve">Tracks which skill nodes a user has unlocked</t>
  </si>
  <si>
    <t xml:space="preserve">FK → Users, FK → SkillNodes</t>
  </si>
  <si>
    <t xml:space="preserve">Achievement definitions and unlock rules</t>
  </si>
  <si>
    <t xml:space="preserve">1:N UserAchievements</t>
  </si>
  <si>
    <t xml:space="preserve">UserAchievements</t>
  </si>
  <si>
    <t xml:space="preserve">Tracks which achievements a user has earned and when</t>
  </si>
  <si>
    <t xml:space="preserve">FK → Users, FK → Achievements</t>
  </si>
  <si>
    <t xml:space="preserve">Guilds</t>
  </si>
  <si>
    <t xml:space="preserve">Guild/team definitions (name, description, guild XP)</t>
  </si>
  <si>
    <t xml:space="preserve">1:N GuildMembers, 1:N GuildEvents</t>
  </si>
  <si>
    <t xml:space="preserve">GuildMembers</t>
  </si>
  <si>
    <t xml:space="preserve">Membership + role (leader/officer/member) per guild</t>
  </si>
  <si>
    <t xml:space="preserve">FK → Guilds, FK → Users</t>
  </si>
  <si>
    <t xml:space="preserve">GuildEvents</t>
  </si>
  <si>
    <t xml:space="preserve">Scheduled guild activities/events</t>
  </si>
  <si>
    <t xml:space="preserve">FK → Guilds</t>
  </si>
  <si>
    <t xml:space="preserve">AuditLogs</t>
  </si>
  <si>
    <t xml:space="preserve">Immutable log of sensitive actions across the platform</t>
  </si>
  <si>
    <t xml:space="preserve">FK → Users (actor), polymorphic entity reference</t>
  </si>
  <si>
    <t xml:space="preserve">Note: Dataverse tables (Players, Skills, Achievements, LearningProgress) introduced in Sprint 10 for CRM sync live in Dynamics 365 / Dataverse, not SQL Server — see 'Sprint Backlog' Sprint 10 rows.</t>
  </si>
  <si>
    <t xml:space="preserve">RACI &amp; Team Allocation</t>
  </si>
  <si>
    <t xml:space="preserve">Suggested for a solo learner scaling toward a small team; adjust headcount to your actual team size.</t>
  </si>
  <si>
    <t xml:space="preserve">Role</t>
  </si>
  <si>
    <t xml:space="preserve">Responsibilities</t>
  </si>
  <si>
    <t xml:space="preserve">Sprints Most Involved</t>
  </si>
  <si>
    <t xml:space="preserve">Recommended Headcount</t>
  </si>
  <si>
    <t xml:space="preserve">Product Owner / PM</t>
  </si>
  <si>
    <t xml:space="preserve">Owns backlog priority, sprint goals, stakeholder communication, UAT sign-off</t>
  </si>
  <si>
    <t xml:space="preserve">All sprints</t>
  </si>
  <si>
    <t xml:space="preserve">1</t>
  </si>
  <si>
    <t xml:space="preserve">Scrum Master</t>
  </si>
  <si>
    <t xml:space="preserve">Facilitates ceremonies, removes blockers, tracks velocity</t>
  </si>
  <si>
    <t xml:space="preserve">1 (can be shared role)</t>
  </si>
  <si>
    <t xml:space="preserve">Frontend Developer (React/TS)</t>
  </si>
  <si>
    <t xml:space="preserve">Builds all UI: auth pages, profile, quests, skill tree, leaderboard, guilds, dashboards</t>
  </si>
  <si>
    <t xml:space="preserve">0,1,2,3,4,6,7,8,9,11</t>
  </si>
  <si>
    <t xml:space="preserve">1-2</t>
  </si>
  <si>
    <t xml:space="preserve">Backend Developer (.NET)</t>
  </si>
  <si>
    <t xml:space="preserve">Builds APIs, services, business logic, EF Core models, background jobs</t>
  </si>
  <si>
    <t xml:space="preserve">0,1,2,3,4,5,6,7,8,9,10,13</t>
  </si>
  <si>
    <t xml:space="preserve">Database Engineer</t>
  </si>
  <si>
    <t xml:space="preserve">Schema design, migrations, indexing, performance tuning</t>
  </si>
  <si>
    <t xml:space="preserve">0,1,2,3,4,5,7,10</t>
  </si>
  <si>
    <t xml:space="preserve">1 (can be shared with backend dev)</t>
  </si>
  <si>
    <t xml:space="preserve">DevOps / Cloud Engineer</t>
  </si>
  <si>
    <t xml:space="preserve">Azure infra, CI/CD pipelines, Key Vault, monitoring, deployment</t>
  </si>
  <si>
    <t xml:space="preserve">0,9,12,13</t>
  </si>
  <si>
    <t xml:space="preserve">CRM/Dynamics Specialist</t>
  </si>
  <si>
    <t xml:space="preserve">Dataverse schema, Dynamics 365 integration and sync logic</t>
  </si>
  <si>
    <t xml:space="preserve">10</t>
  </si>
  <si>
    <t xml:space="preserve">1 (can be contracted for this sprint)</t>
  </si>
  <si>
    <t xml:space="preserve">QA Engineer</t>
  </si>
  <si>
    <t xml:space="preserve">Test planning, unit/integration/E2E testing, regression, UAT support</t>
  </si>
  <si>
    <t xml:space="preserve">1,3,4,6,7,8,9,10,11,12,13</t>
  </si>
  <si>
    <t xml:space="preserve">Security Reviewer</t>
  </si>
  <si>
    <t xml:space="preserve">OWASP review, security headers, rate limiting sign-off</t>
  </si>
  <si>
    <t xml:space="preserve">13</t>
  </si>
  <si>
    <t xml:space="preserve">1 (can be shared/consultant)</t>
  </si>
  <si>
    <t xml:space="preserve">Risk Register</t>
  </si>
  <si>
    <t xml:space="preserve">Review at every sprint planning session and retrospective. Risk Score = Likelihood (1-5) × Impact (1-5).</t>
  </si>
  <si>
    <t xml:space="preserve">Risk ID</t>
  </si>
  <si>
    <t xml:space="preserve">Risk Description</t>
  </si>
  <si>
    <t xml:space="preserve">Likelihood</t>
  </si>
  <si>
    <t xml:space="preserve">Impact</t>
  </si>
  <si>
    <t xml:space="preserve">Risk Score</t>
  </si>
  <si>
    <t xml:space="preserve">Mitigation Strategy</t>
  </si>
  <si>
    <t xml:space="preserve">Owner</t>
  </si>
  <si>
    <t xml:space="preserve">R-01</t>
  </si>
  <si>
    <t xml:space="preserve">Dynamics 365 / Dataverse integration complexity underestimated (Sprint 10)</t>
  </si>
  <si>
    <t xml:space="preserve">Technical</t>
  </si>
  <si>
    <t xml:space="preserve">Timebox a spike in Sprint 9 to validate auth + one sync path before Sprint 10 begins; consider a short-term Dynamics specialist.</t>
  </si>
  <si>
    <t xml:space="preserve">Backend Lead</t>
  </si>
  <si>
    <t xml:space="preserve">Open</t>
  </si>
  <si>
    <t xml:space="preserve">R-02</t>
  </si>
  <si>
    <t xml:space="preserve">Scope creep — gamification features (guilds, boss battles) grow beyond MVP</t>
  </si>
  <si>
    <t xml:space="preserve">Scope</t>
  </si>
  <si>
    <t xml:space="preserve">Lock sprint scope at planning; new ideas go to a backlog for a post-MVP phase, not the current sprint.</t>
  </si>
  <si>
    <t xml:space="preserve">Product Owner</t>
  </si>
  <si>
    <t xml:space="preserve">R-03</t>
  </si>
  <si>
    <t xml:space="preserve">Azure cost overrun from underused provisioned services</t>
  </si>
  <si>
    <t xml:space="preserve">Financial</t>
  </si>
  <si>
    <t xml:space="preserve">Use Azure cost alerts/budgets from Sprint 12 onward; right-size App Service/SQL tiers for dev vs prod.</t>
  </si>
  <si>
    <t xml:space="preserve">DevOps Lead</t>
  </si>
  <si>
    <t xml:space="preserve">R-04</t>
  </si>
  <si>
    <t xml:space="preserve">Leaderboard/Redis performance degrades at scale</t>
  </si>
  <si>
    <t xml:space="preserve">Load test in Sprint 6; add caching and pagination early rather than retrofitting.</t>
  </si>
  <si>
    <t xml:space="preserve">R-05</t>
  </si>
  <si>
    <t xml:space="preserve">Security vulnerabilities found late (only addressed in Sprint 13)</t>
  </si>
  <si>
    <t xml:space="preserve">Run lightweight security checks (dependency scanning, basic header checks) every sprint, not just Sprint 13.</t>
  </si>
  <si>
    <t xml:space="preserve">R-06</t>
  </si>
  <si>
    <t xml:space="preserve">Single-developer bottleneck if built solo without a team</t>
  </si>
  <si>
    <t xml:space="preserve">Resourcing</t>
  </si>
  <si>
    <t xml:space="preserve">Sequence sprints strictly, protect focus time, and consider pairing/contracting for CRM (Sprint 10) and security (Sprint 13) sprints.</t>
  </si>
  <si>
    <t xml:space="preserve">R-07</t>
  </si>
  <si>
    <t xml:space="preserve">Skill tree / boss battle UI complexity slows Sprint 4 and 8 delivery</t>
  </si>
  <si>
    <t xml:space="preserve">Timebox UI exploration; ship a functional (less polished) version first, iterate visuals post-MVP.</t>
  </si>
  <si>
    <t xml:space="preserve">Frontend Lead</t>
  </si>
  <si>
    <t xml:space="preserve">R-08</t>
  </si>
  <si>
    <t xml:space="preserve">CI/CD pipeline misconfiguration delays first production deploy</t>
  </si>
  <si>
    <t xml:space="preserve">Build and test the pipeline against a throwaway environment in Sprint 0/9, not for the first time in Sprint 12.</t>
  </si>
  <si>
    <t xml:space="preserve">Definition of Done — Quality Bar for Every User Story</t>
  </si>
  <si>
    <t xml:space="preserve">Checklist Item</t>
  </si>
  <si>
    <t xml:space="preserve">Applies To</t>
  </si>
  <si>
    <t xml:space="preserve">Code builds with zero errors/warnings in CI</t>
  </si>
  <si>
    <t xml:space="preserve">All stories</t>
  </si>
  <si>
    <t xml:space="preserve">Unit tests written and passing for new business logic</t>
  </si>
  <si>
    <t xml:space="preserve">Backend/Frontend</t>
  </si>
  <si>
    <t xml:space="preserve">API endpoints documented in Swagger/OpenAPI</t>
  </si>
  <si>
    <t xml:space="preserve">Database migrations run cleanly on a fresh environment</t>
  </si>
  <si>
    <t xml:space="preserve">UI is responsive and matches design/UX expectations</t>
  </si>
  <si>
    <t xml:space="preserve">Code reviewed and approved by at least one other developer</t>
  </si>
  <si>
    <t xml:space="preserve">No known Critical/High severity bugs open</t>
  </si>
  <si>
    <t xml:space="preserve">Feature manually tested against acceptance criteria in the User Story</t>
  </si>
  <si>
    <t xml:space="preserve">Security considerations reviewed (auth, input validation, secrets)</t>
  </si>
  <si>
    <t xml:space="preserve">Backend/Infra</t>
  </si>
  <si>
    <t xml:space="preserve">Deployed and verified in a Dev/Staging environment</t>
  </si>
  <si>
    <t xml:space="preserve">Documentation updated (README, API docs, or runbook) if applicable</t>
  </si>
  <si>
    <t xml:space="preserve">Product Owner has accepted the story against its acceptance criteria</t>
  </si>
  <si>
    <t xml:space="preserve">Recommended Learning Order</t>
  </si>
  <si>
    <t xml:space="preserve">Study just ahead of the sprint that needs it — don't front-load everything before Sprint 0.</t>
  </si>
  <si>
    <t xml:space="preserve">#</t>
  </si>
  <si>
    <t xml:space="preserve">Topic</t>
  </si>
  <si>
    <t xml:space="preserve">Why It Matters Here</t>
  </si>
  <si>
    <t xml:space="preserve">React Fundamentals</t>
  </si>
  <si>
    <t xml:space="preserve">Needed starting Sprint 0/1 to build every UI screen.</t>
  </si>
  <si>
    <t xml:space="preserve">TypeScript</t>
  </si>
  <si>
    <t xml:space="preserve">Type safety across the entire React app; used from Sprint 0 onward.</t>
  </si>
  <si>
    <t xml:space="preserve">ASP.NET Core Web API</t>
  </si>
  <si>
    <t xml:space="preserve">Powers every backend endpoint from Sprint 0 onward.</t>
  </si>
  <si>
    <t xml:space="preserve">Entity Framework Core</t>
  </si>
  <si>
    <t xml:space="preserve">ORM for all database entities, migrations, and queries.</t>
  </si>
  <si>
    <t xml:space="preserve">SQL Server</t>
  </si>
  <si>
    <t xml:space="preserve">Underlying relational database; needed for schema design from Sprint 0.</t>
  </si>
  <si>
    <t xml:space="preserve">JWT Authentication</t>
  </si>
  <si>
    <t xml:space="preserve">Core to Sprint 1's entire authentication system.</t>
  </si>
  <si>
    <t xml:space="preserve">Clean Architecture</t>
  </si>
  <si>
    <t xml:space="preserve">The layering pattern (API/Application/Domain/Infrastructure) used throughout the backend.</t>
  </si>
  <si>
    <t xml:space="preserve">Azure Fundamentals</t>
  </si>
  <si>
    <t xml:space="preserve">Baseline cloud literacy needed before Sprint 9/12 infra work.</t>
  </si>
  <si>
    <t xml:space="preserve">Azure App Services</t>
  </si>
  <si>
    <t xml:space="preserve">Hosting platform for frontend + backend in Sprint 12.</t>
  </si>
  <si>
    <t xml:space="preserve">Azure SQL</t>
  </si>
  <si>
    <t xml:space="preserve">Production database service used in Sprint 12.</t>
  </si>
  <si>
    <t xml:space="preserve">Azure DevOps</t>
  </si>
  <si>
    <t xml:space="preserve">Boards/Repos/Pipelines used from Sprint 0 (setup) through Sprint 12 (CI/CD).</t>
  </si>
  <si>
    <t xml:space="preserve">Dynamics 365 CRM</t>
  </si>
  <si>
    <t xml:space="preserve">Business-user side of the CRM integration built in Sprint 10.</t>
  </si>
  <si>
    <t xml:space="preserve">Dataverse</t>
  </si>
  <si>
    <t xml:space="preserve">Underlying data platform for Dynamics 365; core to Sprint 10's sync logic.</t>
  </si>
  <si>
    <t xml:space="preserve">Power Automate</t>
  </si>
  <si>
    <t xml:space="preserve">Useful for lightweight CRM sync/notification automation touched in Sprints 9-10.</t>
  </si>
  <si>
    <t xml:space="preserve">Monitoring &amp; Observability</t>
  </si>
  <si>
    <t xml:space="preserve">Application Insights and logging practices used in Sprints 9, 12, and 13.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</si>
</sst>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C6E0B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5"/>
  </cols>
  <sheetData>
    <row r="1" customFormat="false" ht="30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60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4</v>
      </c>
      <c r="B5" s="4" t="s">
        <v>5</v>
      </c>
    </row>
    <row r="6" customFormat="false" ht="60" hidden="false" customHeight="true" outlineLevel="0" collapsed="false">
      <c r="A6" s="3" t="s">
        <v>6</v>
      </c>
      <c r="B6" s="4" t="s">
        <v>7</v>
      </c>
    </row>
    <row r="7" customFormat="false" ht="60" hidden="false" customHeight="true" outlineLevel="0" collapsed="false">
      <c r="A7" s="3" t="s">
        <v>8</v>
      </c>
      <c r="B7" s="4" t="s">
        <v>9</v>
      </c>
    </row>
    <row r="8" customFormat="false" ht="60" hidden="false" customHeight="true" outlineLevel="0" collapsed="false">
      <c r="A8" s="3" t="s">
        <v>10</v>
      </c>
      <c r="B8" s="4" t="s">
        <v>11</v>
      </c>
    </row>
    <row r="9" customFormat="false" ht="60" hidden="false" customHeight="true" outlineLevel="0" collapsed="false">
      <c r="A9" s="3" t="s">
        <v>12</v>
      </c>
      <c r="B9" s="4" t="s">
        <v>13</v>
      </c>
    </row>
    <row r="11" customFormat="false" ht="19.5" hidden="false" customHeight="true" outlineLevel="0" collapsed="false">
      <c r="A11" s="5" t="s">
        <v>14</v>
      </c>
      <c r="B11" s="5"/>
    </row>
    <row r="12" customFormat="false" ht="15" hidden="false" customHeight="false" outlineLevel="0" collapsed="false">
      <c r="A12" s="6" t="s">
        <v>15</v>
      </c>
      <c r="B12" s="7" t="n">
        <v>14</v>
      </c>
    </row>
    <row r="13" customFormat="false" ht="15" hidden="false" customHeight="false" outlineLevel="0" collapsed="false">
      <c r="A13" s="6" t="s">
        <v>16</v>
      </c>
      <c r="B13" s="7" t="n">
        <f aca="false">SUMPRODUCT((COUNTIF('Sprint Backlog'!$C$4:$C$121,'Sprint Backlog'!$C$4:$C$121&amp;"")&gt;0)/COUNTIF('Sprint Backlog'!$C$4:$C$121,'Sprint Backlog'!$C$4:$C$121&amp;""))</f>
        <v>14</v>
      </c>
    </row>
    <row r="14" customFormat="false" ht="15" hidden="false" customHeight="false" outlineLevel="0" collapsed="false">
      <c r="A14" s="6" t="s">
        <v>17</v>
      </c>
      <c r="B14" s="7" t="n">
        <f aca="false">SUMPRODUCT((COUNTIF('Sprint Backlog'!$D$4:$D$121,'Sprint Backlog'!$D$4:$D$121&amp;"")&gt;0)/COUNTIF('Sprint Backlog'!$D$4:$D$121,'Sprint Backlog'!$D$4:$D$121&amp;""))</f>
        <v>14</v>
      </c>
    </row>
    <row r="15" customFormat="false" ht="15" hidden="false" customHeight="false" outlineLevel="0" collapsed="false">
      <c r="A15" s="6" t="s">
        <v>18</v>
      </c>
      <c r="B15" s="7" t="n">
        <f aca="false">COUNTA('Sprint Backlog'!$F$4:$F$121)</f>
        <v>118</v>
      </c>
    </row>
    <row r="16" customFormat="false" ht="15" hidden="false" customHeight="false" outlineLevel="0" collapsed="false">
      <c r="A16" s="6" t="s">
        <v>19</v>
      </c>
      <c r="B16" s="7" t="n">
        <f aca="false">SUM('Sprint Backlog'!$J$4:$J$121)</f>
        <v>443</v>
      </c>
    </row>
    <row r="17" customFormat="false" ht="15" hidden="false" customHeight="false" outlineLevel="0" collapsed="false">
      <c r="A17" s="6" t="s">
        <v>20</v>
      </c>
      <c r="B17" s="7" t="n">
        <f aca="false">SUM('Sprint Backlog'!$K$4:$K$121)</f>
        <v>311</v>
      </c>
    </row>
    <row r="18" customFormat="false" ht="15" hidden="false" customHeight="false" outlineLevel="0" collapsed="false">
      <c r="A18" s="6" t="s">
        <v>21</v>
      </c>
      <c r="B18" s="7" t="n">
        <f aca="false">COUNTIF('Sprint Backlog'!$L$4:$L$121,"Done")</f>
        <v>0</v>
      </c>
    </row>
    <row r="19" customFormat="false" ht="15" hidden="false" customHeight="false" outlineLevel="0" collapsed="false">
      <c r="A19" s="6" t="s">
        <v>22</v>
      </c>
      <c r="B19" s="8" t="n">
        <f aca="false">IFERROR(COUNTIF('Sprint Backlog'!$L$4:$L$121,"Done")/COUNTA('Sprint Backlog'!$F$4:$F$121),0)</f>
        <v>0</v>
      </c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0" hidden="false" customHeight="true" outlineLevel="0" collapsed="false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34</v>
      </c>
      <c r="K3" s="9" t="s">
        <v>35</v>
      </c>
      <c r="L3" s="9" t="s">
        <v>36</v>
      </c>
      <c r="M3" s="9" t="s">
        <v>22</v>
      </c>
      <c r="N3" s="9" t="s">
        <v>37</v>
      </c>
      <c r="O3" s="9" t="s">
        <v>38</v>
      </c>
      <c r="P3" s="9" t="s">
        <v>39</v>
      </c>
    </row>
    <row r="4" customFormat="false" ht="30" hidden="false" customHeight="true" outlineLevel="0" collapsed="false">
      <c r="A4" s="10" t="n">
        <v>0</v>
      </c>
      <c r="B4" s="4" t="s">
        <v>40</v>
      </c>
      <c r="C4" s="4" t="s">
        <v>41</v>
      </c>
      <c r="D4" s="11" t="s">
        <v>42</v>
      </c>
      <c r="E4" s="4" t="s">
        <v>43</v>
      </c>
      <c r="F4" s="11" t="s">
        <v>44</v>
      </c>
      <c r="G4" s="4" t="s">
        <v>45</v>
      </c>
      <c r="H4" s="10" t="s">
        <v>46</v>
      </c>
      <c r="I4" s="11" t="s">
        <v>47</v>
      </c>
      <c r="J4" s="11" t="n">
        <v>2</v>
      </c>
      <c r="K4" s="11" t="n">
        <v>1</v>
      </c>
      <c r="L4" s="12" t="s">
        <v>48</v>
      </c>
      <c r="M4" s="13" t="n">
        <v>0</v>
      </c>
      <c r="N4" s="12"/>
      <c r="O4" s="12" t="n">
        <v>0</v>
      </c>
      <c r="P4" s="14"/>
    </row>
    <row r="5" customFormat="false" ht="30" hidden="false" customHeight="true" outlineLevel="0" collapsed="false">
      <c r="A5" s="10" t="n">
        <v>0</v>
      </c>
      <c r="B5" s="4" t="s">
        <v>40</v>
      </c>
      <c r="C5" s="4" t="s">
        <v>41</v>
      </c>
      <c r="D5" s="11" t="s">
        <v>42</v>
      </c>
      <c r="E5" s="4" t="s">
        <v>43</v>
      </c>
      <c r="F5" s="11" t="s">
        <v>49</v>
      </c>
      <c r="G5" s="4" t="s">
        <v>50</v>
      </c>
      <c r="H5" s="10" t="s">
        <v>46</v>
      </c>
      <c r="I5" s="11" t="s">
        <v>47</v>
      </c>
      <c r="J5" s="11" t="n">
        <v>2</v>
      </c>
      <c r="K5" s="11" t="n">
        <v>1</v>
      </c>
      <c r="L5" s="12" t="s">
        <v>48</v>
      </c>
      <c r="M5" s="13" t="n">
        <v>0</v>
      </c>
      <c r="N5" s="12"/>
      <c r="O5" s="12" t="n">
        <v>0</v>
      </c>
      <c r="P5" s="14"/>
    </row>
    <row r="6" customFormat="false" ht="30" hidden="false" customHeight="true" outlineLevel="0" collapsed="false">
      <c r="A6" s="10" t="n">
        <v>0</v>
      </c>
      <c r="B6" s="4" t="s">
        <v>40</v>
      </c>
      <c r="C6" s="4" t="s">
        <v>41</v>
      </c>
      <c r="D6" s="11" t="s">
        <v>42</v>
      </c>
      <c r="E6" s="4" t="s">
        <v>43</v>
      </c>
      <c r="F6" s="11" t="s">
        <v>51</v>
      </c>
      <c r="G6" s="4" t="s">
        <v>52</v>
      </c>
      <c r="H6" s="10" t="s">
        <v>53</v>
      </c>
      <c r="I6" s="11" t="s">
        <v>47</v>
      </c>
      <c r="J6" s="11" t="n">
        <v>3</v>
      </c>
      <c r="K6" s="11" t="n">
        <v>2</v>
      </c>
      <c r="L6" s="12" t="s">
        <v>48</v>
      </c>
      <c r="M6" s="13" t="n">
        <v>0</v>
      </c>
      <c r="N6" s="12"/>
      <c r="O6" s="12" t="n">
        <v>0</v>
      </c>
      <c r="P6" s="14"/>
    </row>
    <row r="7" customFormat="false" ht="30" hidden="false" customHeight="true" outlineLevel="0" collapsed="false">
      <c r="A7" s="10" t="n">
        <v>0</v>
      </c>
      <c r="B7" s="4" t="s">
        <v>40</v>
      </c>
      <c r="C7" s="4" t="s">
        <v>41</v>
      </c>
      <c r="D7" s="11" t="s">
        <v>42</v>
      </c>
      <c r="E7" s="4" t="s">
        <v>43</v>
      </c>
      <c r="F7" s="11" t="s">
        <v>54</v>
      </c>
      <c r="G7" s="4" t="s">
        <v>55</v>
      </c>
      <c r="H7" s="10" t="s">
        <v>56</v>
      </c>
      <c r="I7" s="11" t="s">
        <v>47</v>
      </c>
      <c r="J7" s="11" t="n">
        <v>4</v>
      </c>
      <c r="K7" s="11" t="n">
        <v>3</v>
      </c>
      <c r="L7" s="12" t="s">
        <v>48</v>
      </c>
      <c r="M7" s="13" t="n">
        <v>0</v>
      </c>
      <c r="N7" s="12"/>
      <c r="O7" s="12" t="n">
        <v>0</v>
      </c>
      <c r="P7" s="14"/>
    </row>
    <row r="8" customFormat="false" ht="30" hidden="false" customHeight="true" outlineLevel="0" collapsed="false">
      <c r="A8" s="10" t="n">
        <v>0</v>
      </c>
      <c r="B8" s="4" t="s">
        <v>40</v>
      </c>
      <c r="C8" s="4" t="s">
        <v>41</v>
      </c>
      <c r="D8" s="11" t="s">
        <v>42</v>
      </c>
      <c r="E8" s="4" t="s">
        <v>43</v>
      </c>
      <c r="F8" s="11" t="s">
        <v>57</v>
      </c>
      <c r="G8" s="4" t="s">
        <v>58</v>
      </c>
      <c r="H8" s="10" t="s">
        <v>59</v>
      </c>
      <c r="I8" s="11" t="s">
        <v>47</v>
      </c>
      <c r="J8" s="11" t="n">
        <v>3</v>
      </c>
      <c r="K8" s="11" t="n">
        <v>2</v>
      </c>
      <c r="L8" s="12" t="s">
        <v>48</v>
      </c>
      <c r="M8" s="13" t="n">
        <v>0</v>
      </c>
      <c r="N8" s="12"/>
      <c r="O8" s="12" t="n">
        <v>0</v>
      </c>
      <c r="P8" s="14"/>
    </row>
    <row r="9" customFormat="false" ht="30" hidden="false" customHeight="true" outlineLevel="0" collapsed="false">
      <c r="A9" s="10" t="n">
        <v>0</v>
      </c>
      <c r="B9" s="4" t="s">
        <v>40</v>
      </c>
      <c r="C9" s="4" t="s">
        <v>41</v>
      </c>
      <c r="D9" s="11" t="s">
        <v>42</v>
      </c>
      <c r="E9" s="4" t="s">
        <v>43</v>
      </c>
      <c r="F9" s="11" t="s">
        <v>60</v>
      </c>
      <c r="G9" s="4" t="s">
        <v>61</v>
      </c>
      <c r="H9" s="10" t="s">
        <v>56</v>
      </c>
      <c r="I9" s="11" t="s">
        <v>62</v>
      </c>
      <c r="J9" s="11" t="n">
        <v>2</v>
      </c>
      <c r="K9" s="11" t="n">
        <v>1</v>
      </c>
      <c r="L9" s="12" t="s">
        <v>48</v>
      </c>
      <c r="M9" s="13" t="n">
        <v>0</v>
      </c>
      <c r="N9" s="12"/>
      <c r="O9" s="12" t="n">
        <v>0</v>
      </c>
      <c r="P9" s="14"/>
    </row>
    <row r="10" customFormat="false" ht="30" hidden="false" customHeight="true" outlineLevel="0" collapsed="false">
      <c r="A10" s="10" t="n">
        <v>0</v>
      </c>
      <c r="B10" s="4" t="s">
        <v>40</v>
      </c>
      <c r="C10" s="4" t="s">
        <v>41</v>
      </c>
      <c r="D10" s="11" t="s">
        <v>42</v>
      </c>
      <c r="E10" s="4" t="s">
        <v>43</v>
      </c>
      <c r="F10" s="11" t="s">
        <v>63</v>
      </c>
      <c r="G10" s="4" t="s">
        <v>64</v>
      </c>
      <c r="H10" s="10" t="s">
        <v>53</v>
      </c>
      <c r="I10" s="11" t="s">
        <v>62</v>
      </c>
      <c r="J10" s="11" t="n">
        <v>1</v>
      </c>
      <c r="K10" s="11" t="n">
        <v>1</v>
      </c>
      <c r="L10" s="12" t="s">
        <v>48</v>
      </c>
      <c r="M10" s="13" t="n">
        <v>0</v>
      </c>
      <c r="N10" s="12"/>
      <c r="O10" s="12" t="n">
        <v>0</v>
      </c>
      <c r="P10" s="14"/>
    </row>
    <row r="11" customFormat="false" ht="30" hidden="false" customHeight="true" outlineLevel="0" collapsed="false">
      <c r="A11" s="10" t="n">
        <v>0</v>
      </c>
      <c r="B11" s="4" t="s">
        <v>40</v>
      </c>
      <c r="C11" s="4" t="s">
        <v>41</v>
      </c>
      <c r="D11" s="11" t="s">
        <v>42</v>
      </c>
      <c r="E11" s="4" t="s">
        <v>43</v>
      </c>
      <c r="F11" s="11" t="s">
        <v>65</v>
      </c>
      <c r="G11" s="4" t="s">
        <v>66</v>
      </c>
      <c r="H11" s="10" t="s">
        <v>53</v>
      </c>
      <c r="I11" s="11" t="s">
        <v>62</v>
      </c>
      <c r="J11" s="11" t="n">
        <v>1</v>
      </c>
      <c r="K11" s="11" t="n">
        <v>1</v>
      </c>
      <c r="L11" s="12" t="s">
        <v>48</v>
      </c>
      <c r="M11" s="13" t="n">
        <v>0</v>
      </c>
      <c r="N11" s="12"/>
      <c r="O11" s="12" t="n">
        <v>0</v>
      </c>
      <c r="P11" s="14"/>
    </row>
    <row r="12" customFormat="false" ht="30" hidden="false" customHeight="true" outlineLevel="0" collapsed="false">
      <c r="A12" s="10" t="n">
        <v>0</v>
      </c>
      <c r="B12" s="4" t="s">
        <v>40</v>
      </c>
      <c r="C12" s="4" t="s">
        <v>41</v>
      </c>
      <c r="D12" s="11" t="s">
        <v>42</v>
      </c>
      <c r="E12" s="4" t="s">
        <v>43</v>
      </c>
      <c r="F12" s="11" t="s">
        <v>67</v>
      </c>
      <c r="G12" s="4" t="s">
        <v>68</v>
      </c>
      <c r="H12" s="10" t="s">
        <v>46</v>
      </c>
      <c r="I12" s="11" t="s">
        <v>47</v>
      </c>
      <c r="J12" s="11" t="n">
        <v>2</v>
      </c>
      <c r="K12" s="11" t="n">
        <v>1</v>
      </c>
      <c r="L12" s="12" t="s">
        <v>48</v>
      </c>
      <c r="M12" s="13" t="n">
        <v>0</v>
      </c>
      <c r="N12" s="12"/>
      <c r="O12" s="12" t="n">
        <v>0</v>
      </c>
      <c r="P12" s="14"/>
    </row>
    <row r="13" customFormat="false" ht="30" hidden="false" customHeight="true" outlineLevel="0" collapsed="false">
      <c r="A13" s="10" t="n">
        <v>0</v>
      </c>
      <c r="B13" s="4" t="s">
        <v>40</v>
      </c>
      <c r="C13" s="4" t="s">
        <v>41</v>
      </c>
      <c r="D13" s="11" t="s">
        <v>42</v>
      </c>
      <c r="E13" s="4" t="s">
        <v>43</v>
      </c>
      <c r="F13" s="11" t="s">
        <v>69</v>
      </c>
      <c r="G13" s="4" t="s">
        <v>70</v>
      </c>
      <c r="H13" s="10" t="s">
        <v>46</v>
      </c>
      <c r="I13" s="11" t="s">
        <v>47</v>
      </c>
      <c r="J13" s="11" t="n">
        <v>1</v>
      </c>
      <c r="K13" s="11" t="n">
        <v>1</v>
      </c>
      <c r="L13" s="12" t="s">
        <v>48</v>
      </c>
      <c r="M13" s="13" t="n">
        <v>0</v>
      </c>
      <c r="N13" s="12"/>
      <c r="O13" s="12" t="n">
        <v>0</v>
      </c>
      <c r="P13" s="14"/>
    </row>
    <row r="14" customFormat="false" ht="30" hidden="false" customHeight="true" outlineLevel="0" collapsed="false">
      <c r="A14" s="10" t="n">
        <v>0</v>
      </c>
      <c r="B14" s="4" t="s">
        <v>40</v>
      </c>
      <c r="C14" s="4" t="s">
        <v>41</v>
      </c>
      <c r="D14" s="11" t="s">
        <v>42</v>
      </c>
      <c r="E14" s="4" t="s">
        <v>43</v>
      </c>
      <c r="F14" s="11" t="s">
        <v>71</v>
      </c>
      <c r="G14" s="4" t="s">
        <v>72</v>
      </c>
      <c r="H14" s="10" t="s">
        <v>73</v>
      </c>
      <c r="I14" s="11" t="s">
        <v>74</v>
      </c>
      <c r="J14" s="11" t="n">
        <v>2</v>
      </c>
      <c r="K14" s="11" t="n">
        <v>1</v>
      </c>
      <c r="L14" s="12" t="s">
        <v>48</v>
      </c>
      <c r="M14" s="13" t="n">
        <v>0</v>
      </c>
      <c r="N14" s="12"/>
      <c r="O14" s="12" t="n">
        <v>0</v>
      </c>
      <c r="P14" s="14"/>
    </row>
    <row r="15" customFormat="false" ht="30" hidden="false" customHeight="true" outlineLevel="0" collapsed="false">
      <c r="A15" s="15" t="n">
        <v>1</v>
      </c>
      <c r="B15" s="4" t="s">
        <v>75</v>
      </c>
      <c r="C15" s="4" t="s">
        <v>76</v>
      </c>
      <c r="D15" s="11" t="s">
        <v>77</v>
      </c>
      <c r="E15" s="4" t="s">
        <v>78</v>
      </c>
      <c r="F15" s="11" t="s">
        <v>79</v>
      </c>
      <c r="G15" s="4" t="s">
        <v>80</v>
      </c>
      <c r="H15" s="15" t="s">
        <v>56</v>
      </c>
      <c r="I15" s="11" t="s">
        <v>47</v>
      </c>
      <c r="J15" s="11" t="n">
        <v>3</v>
      </c>
      <c r="K15" s="11" t="n">
        <v>2</v>
      </c>
      <c r="L15" s="12" t="s">
        <v>48</v>
      </c>
      <c r="M15" s="13" t="n">
        <v>0</v>
      </c>
      <c r="N15" s="12"/>
      <c r="O15" s="12" t="n">
        <v>0</v>
      </c>
      <c r="P15" s="14"/>
    </row>
    <row r="16" customFormat="false" ht="30" hidden="false" customHeight="true" outlineLevel="0" collapsed="false">
      <c r="A16" s="15" t="n">
        <v>1</v>
      </c>
      <c r="B16" s="4" t="s">
        <v>75</v>
      </c>
      <c r="C16" s="4" t="s">
        <v>76</v>
      </c>
      <c r="D16" s="11" t="s">
        <v>77</v>
      </c>
      <c r="E16" s="4" t="s">
        <v>78</v>
      </c>
      <c r="F16" s="11" t="s">
        <v>81</v>
      </c>
      <c r="G16" s="4" t="s">
        <v>82</v>
      </c>
      <c r="H16" s="15" t="s">
        <v>56</v>
      </c>
      <c r="I16" s="11" t="s">
        <v>47</v>
      </c>
      <c r="J16" s="11" t="n">
        <v>2</v>
      </c>
      <c r="K16" s="11" t="n">
        <v>1</v>
      </c>
      <c r="L16" s="12" t="s">
        <v>48</v>
      </c>
      <c r="M16" s="13" t="n">
        <v>0</v>
      </c>
      <c r="N16" s="12"/>
      <c r="O16" s="12" t="n">
        <v>0</v>
      </c>
      <c r="P16" s="14"/>
    </row>
    <row r="17" customFormat="false" ht="30" hidden="false" customHeight="true" outlineLevel="0" collapsed="false">
      <c r="A17" s="15" t="n">
        <v>1</v>
      </c>
      <c r="B17" s="4" t="s">
        <v>75</v>
      </c>
      <c r="C17" s="4" t="s">
        <v>76</v>
      </c>
      <c r="D17" s="11" t="s">
        <v>77</v>
      </c>
      <c r="E17" s="4" t="s">
        <v>78</v>
      </c>
      <c r="F17" s="11" t="s">
        <v>83</v>
      </c>
      <c r="G17" s="4" t="s">
        <v>84</v>
      </c>
      <c r="H17" s="15" t="s">
        <v>56</v>
      </c>
      <c r="I17" s="11" t="s">
        <v>47</v>
      </c>
      <c r="J17" s="11" t="n">
        <v>2</v>
      </c>
      <c r="K17" s="11" t="n">
        <v>1</v>
      </c>
      <c r="L17" s="12" t="s">
        <v>48</v>
      </c>
      <c r="M17" s="13" t="n">
        <v>0</v>
      </c>
      <c r="N17" s="12"/>
      <c r="O17" s="12" t="n">
        <v>0</v>
      </c>
      <c r="P17" s="14"/>
    </row>
    <row r="18" customFormat="false" ht="30" hidden="false" customHeight="true" outlineLevel="0" collapsed="false">
      <c r="A18" s="15" t="n">
        <v>1</v>
      </c>
      <c r="B18" s="4" t="s">
        <v>75</v>
      </c>
      <c r="C18" s="4" t="s">
        <v>76</v>
      </c>
      <c r="D18" s="11" t="s">
        <v>77</v>
      </c>
      <c r="E18" s="4" t="s">
        <v>78</v>
      </c>
      <c r="F18" s="11" t="s">
        <v>85</v>
      </c>
      <c r="G18" s="4" t="s">
        <v>86</v>
      </c>
      <c r="H18" s="15" t="s">
        <v>56</v>
      </c>
      <c r="I18" s="11" t="s">
        <v>47</v>
      </c>
      <c r="J18" s="11" t="n">
        <v>6</v>
      </c>
      <c r="K18" s="11" t="n">
        <v>5</v>
      </c>
      <c r="L18" s="12" t="s">
        <v>48</v>
      </c>
      <c r="M18" s="13" t="n">
        <v>0</v>
      </c>
      <c r="N18" s="12"/>
      <c r="O18" s="12" t="n">
        <v>0</v>
      </c>
      <c r="P18" s="14"/>
    </row>
    <row r="19" customFormat="false" ht="30" hidden="false" customHeight="true" outlineLevel="0" collapsed="false">
      <c r="A19" s="15" t="n">
        <v>1</v>
      </c>
      <c r="B19" s="4" t="s">
        <v>75</v>
      </c>
      <c r="C19" s="4" t="s">
        <v>76</v>
      </c>
      <c r="D19" s="11" t="s">
        <v>77</v>
      </c>
      <c r="E19" s="4" t="s">
        <v>78</v>
      </c>
      <c r="F19" s="11" t="s">
        <v>87</v>
      </c>
      <c r="G19" s="4" t="s">
        <v>88</v>
      </c>
      <c r="H19" s="15" t="s">
        <v>56</v>
      </c>
      <c r="I19" s="11" t="s">
        <v>47</v>
      </c>
      <c r="J19" s="11" t="n">
        <v>5</v>
      </c>
      <c r="K19" s="11" t="n">
        <v>3</v>
      </c>
      <c r="L19" s="12" t="s">
        <v>48</v>
      </c>
      <c r="M19" s="13" t="n">
        <v>0</v>
      </c>
      <c r="N19" s="12"/>
      <c r="O19" s="12" t="n">
        <v>0</v>
      </c>
      <c r="P19" s="14"/>
    </row>
    <row r="20" customFormat="false" ht="30" hidden="false" customHeight="true" outlineLevel="0" collapsed="false">
      <c r="A20" s="15" t="n">
        <v>1</v>
      </c>
      <c r="B20" s="4" t="s">
        <v>75</v>
      </c>
      <c r="C20" s="4" t="s">
        <v>76</v>
      </c>
      <c r="D20" s="11" t="s">
        <v>77</v>
      </c>
      <c r="E20" s="4" t="s">
        <v>78</v>
      </c>
      <c r="F20" s="11" t="s">
        <v>89</v>
      </c>
      <c r="G20" s="4" t="s">
        <v>90</v>
      </c>
      <c r="H20" s="15" t="s">
        <v>56</v>
      </c>
      <c r="I20" s="11" t="s">
        <v>47</v>
      </c>
      <c r="J20" s="11" t="n">
        <v>3</v>
      </c>
      <c r="K20" s="11" t="n">
        <v>2</v>
      </c>
      <c r="L20" s="12" t="s">
        <v>48</v>
      </c>
      <c r="M20" s="13" t="n">
        <v>0</v>
      </c>
      <c r="N20" s="12"/>
      <c r="O20" s="12" t="n">
        <v>0</v>
      </c>
      <c r="P20" s="14"/>
    </row>
    <row r="21" customFormat="false" ht="30" hidden="false" customHeight="true" outlineLevel="0" collapsed="false">
      <c r="A21" s="15" t="n">
        <v>1</v>
      </c>
      <c r="B21" s="4" t="s">
        <v>75</v>
      </c>
      <c r="C21" s="4" t="s">
        <v>76</v>
      </c>
      <c r="D21" s="11" t="s">
        <v>77</v>
      </c>
      <c r="E21" s="4" t="s">
        <v>78</v>
      </c>
      <c r="F21" s="11" t="s">
        <v>91</v>
      </c>
      <c r="G21" s="4" t="s">
        <v>92</v>
      </c>
      <c r="H21" s="15" t="s">
        <v>53</v>
      </c>
      <c r="I21" s="11" t="s">
        <v>47</v>
      </c>
      <c r="J21" s="11" t="n">
        <v>4</v>
      </c>
      <c r="K21" s="11" t="n">
        <v>3</v>
      </c>
      <c r="L21" s="12" t="s">
        <v>48</v>
      </c>
      <c r="M21" s="13" t="n">
        <v>0</v>
      </c>
      <c r="N21" s="12"/>
      <c r="O21" s="12" t="n">
        <v>0</v>
      </c>
      <c r="P21" s="14"/>
    </row>
    <row r="22" customFormat="false" ht="30" hidden="false" customHeight="true" outlineLevel="0" collapsed="false">
      <c r="A22" s="15" t="n">
        <v>1</v>
      </c>
      <c r="B22" s="4" t="s">
        <v>75</v>
      </c>
      <c r="C22" s="4" t="s">
        <v>76</v>
      </c>
      <c r="D22" s="11" t="s">
        <v>77</v>
      </c>
      <c r="E22" s="4" t="s">
        <v>78</v>
      </c>
      <c r="F22" s="11" t="s">
        <v>93</v>
      </c>
      <c r="G22" s="4" t="s">
        <v>94</v>
      </c>
      <c r="H22" s="15" t="s">
        <v>53</v>
      </c>
      <c r="I22" s="11" t="s">
        <v>47</v>
      </c>
      <c r="J22" s="11" t="n">
        <v>4</v>
      </c>
      <c r="K22" s="11" t="n">
        <v>3</v>
      </c>
      <c r="L22" s="12" t="s">
        <v>48</v>
      </c>
      <c r="M22" s="13" t="n">
        <v>0</v>
      </c>
      <c r="N22" s="12"/>
      <c r="O22" s="12" t="n">
        <v>0</v>
      </c>
      <c r="P22" s="14"/>
    </row>
    <row r="23" customFormat="false" ht="30" hidden="false" customHeight="true" outlineLevel="0" collapsed="false">
      <c r="A23" s="15" t="n">
        <v>1</v>
      </c>
      <c r="B23" s="4" t="s">
        <v>75</v>
      </c>
      <c r="C23" s="4" t="s">
        <v>76</v>
      </c>
      <c r="D23" s="11" t="s">
        <v>77</v>
      </c>
      <c r="E23" s="4" t="s">
        <v>78</v>
      </c>
      <c r="F23" s="11" t="s">
        <v>95</v>
      </c>
      <c r="G23" s="4" t="s">
        <v>96</v>
      </c>
      <c r="H23" s="15" t="s">
        <v>53</v>
      </c>
      <c r="I23" s="11" t="s">
        <v>62</v>
      </c>
      <c r="J23" s="11" t="n">
        <v>3</v>
      </c>
      <c r="K23" s="11" t="n">
        <v>2</v>
      </c>
      <c r="L23" s="12" t="s">
        <v>48</v>
      </c>
      <c r="M23" s="13" t="n">
        <v>0</v>
      </c>
      <c r="N23" s="12"/>
      <c r="O23" s="12" t="n">
        <v>0</v>
      </c>
      <c r="P23" s="14"/>
    </row>
    <row r="24" customFormat="false" ht="30" hidden="false" customHeight="true" outlineLevel="0" collapsed="false">
      <c r="A24" s="15" t="n">
        <v>1</v>
      </c>
      <c r="B24" s="4" t="s">
        <v>75</v>
      </c>
      <c r="C24" s="4" t="s">
        <v>76</v>
      </c>
      <c r="D24" s="11" t="s">
        <v>77</v>
      </c>
      <c r="E24" s="4" t="s">
        <v>78</v>
      </c>
      <c r="F24" s="11" t="s">
        <v>97</v>
      </c>
      <c r="G24" s="4" t="s">
        <v>98</v>
      </c>
      <c r="H24" s="15" t="s">
        <v>59</v>
      </c>
      <c r="I24" s="11" t="s">
        <v>47</v>
      </c>
      <c r="J24" s="11" t="n">
        <v>3</v>
      </c>
      <c r="K24" s="11" t="n">
        <v>2</v>
      </c>
      <c r="L24" s="12" t="s">
        <v>48</v>
      </c>
      <c r="M24" s="13" t="n">
        <v>0</v>
      </c>
      <c r="N24" s="12"/>
      <c r="O24" s="12" t="n">
        <v>0</v>
      </c>
      <c r="P24" s="14"/>
    </row>
    <row r="25" customFormat="false" ht="30" hidden="false" customHeight="true" outlineLevel="0" collapsed="false">
      <c r="A25" s="15" t="n">
        <v>1</v>
      </c>
      <c r="B25" s="4" t="s">
        <v>75</v>
      </c>
      <c r="C25" s="4" t="s">
        <v>76</v>
      </c>
      <c r="D25" s="11" t="s">
        <v>77</v>
      </c>
      <c r="E25" s="4" t="s">
        <v>78</v>
      </c>
      <c r="F25" s="11" t="s">
        <v>99</v>
      </c>
      <c r="G25" s="4" t="s">
        <v>100</v>
      </c>
      <c r="H25" s="15" t="s">
        <v>53</v>
      </c>
      <c r="I25" s="11" t="s">
        <v>47</v>
      </c>
      <c r="J25" s="11" t="n">
        <v>3</v>
      </c>
      <c r="K25" s="11" t="n">
        <v>2</v>
      </c>
      <c r="L25" s="12" t="s">
        <v>48</v>
      </c>
      <c r="M25" s="13" t="n">
        <v>0</v>
      </c>
      <c r="N25" s="12"/>
      <c r="O25" s="12" t="n">
        <v>0</v>
      </c>
      <c r="P25" s="14"/>
    </row>
    <row r="26" customFormat="false" ht="30" hidden="false" customHeight="true" outlineLevel="0" collapsed="false">
      <c r="A26" s="15" t="n">
        <v>1</v>
      </c>
      <c r="B26" s="4" t="s">
        <v>75</v>
      </c>
      <c r="C26" s="4" t="s">
        <v>76</v>
      </c>
      <c r="D26" s="11" t="s">
        <v>77</v>
      </c>
      <c r="E26" s="4" t="s">
        <v>78</v>
      </c>
      <c r="F26" s="11" t="s">
        <v>101</v>
      </c>
      <c r="G26" s="4" t="s">
        <v>102</v>
      </c>
      <c r="H26" s="15" t="s">
        <v>56</v>
      </c>
      <c r="I26" s="11" t="s">
        <v>62</v>
      </c>
      <c r="J26" s="11" t="n">
        <v>4</v>
      </c>
      <c r="K26" s="11" t="n">
        <v>3</v>
      </c>
      <c r="L26" s="12" t="s">
        <v>48</v>
      </c>
      <c r="M26" s="13" t="n">
        <v>0</v>
      </c>
      <c r="N26" s="12"/>
      <c r="O26" s="12" t="n">
        <v>0</v>
      </c>
      <c r="P26" s="14"/>
    </row>
    <row r="27" customFormat="false" ht="30" hidden="false" customHeight="true" outlineLevel="0" collapsed="false">
      <c r="A27" s="15" t="n">
        <v>1</v>
      </c>
      <c r="B27" s="4" t="s">
        <v>75</v>
      </c>
      <c r="C27" s="4" t="s">
        <v>76</v>
      </c>
      <c r="D27" s="11" t="s">
        <v>77</v>
      </c>
      <c r="E27" s="4" t="s">
        <v>78</v>
      </c>
      <c r="F27" s="11" t="s">
        <v>103</v>
      </c>
      <c r="G27" s="4" t="s">
        <v>104</v>
      </c>
      <c r="H27" s="15" t="s">
        <v>105</v>
      </c>
      <c r="I27" s="11" t="s">
        <v>47</v>
      </c>
      <c r="J27" s="11" t="n">
        <v>3</v>
      </c>
      <c r="K27" s="11" t="n">
        <v>2</v>
      </c>
      <c r="L27" s="12" t="s">
        <v>48</v>
      </c>
      <c r="M27" s="13" t="n">
        <v>0</v>
      </c>
      <c r="N27" s="12"/>
      <c r="O27" s="12" t="n">
        <v>0</v>
      </c>
      <c r="P27" s="14"/>
    </row>
    <row r="28" customFormat="false" ht="30" hidden="false" customHeight="true" outlineLevel="0" collapsed="false">
      <c r="A28" s="16" t="n">
        <v>2</v>
      </c>
      <c r="B28" s="4" t="s">
        <v>106</v>
      </c>
      <c r="C28" s="4" t="s">
        <v>107</v>
      </c>
      <c r="D28" s="11" t="s">
        <v>108</v>
      </c>
      <c r="E28" s="4" t="s">
        <v>109</v>
      </c>
      <c r="F28" s="11" t="s">
        <v>110</v>
      </c>
      <c r="G28" s="4" t="s">
        <v>111</v>
      </c>
      <c r="H28" s="16" t="s">
        <v>56</v>
      </c>
      <c r="I28" s="11" t="s">
        <v>47</v>
      </c>
      <c r="J28" s="11" t="n">
        <v>2</v>
      </c>
      <c r="K28" s="11" t="n">
        <v>1</v>
      </c>
      <c r="L28" s="12" t="s">
        <v>48</v>
      </c>
      <c r="M28" s="13" t="n">
        <v>0</v>
      </c>
      <c r="N28" s="12"/>
      <c r="O28" s="12" t="n">
        <v>0</v>
      </c>
      <c r="P28" s="14"/>
    </row>
    <row r="29" customFormat="false" ht="30" hidden="false" customHeight="true" outlineLevel="0" collapsed="false">
      <c r="A29" s="16" t="n">
        <v>2</v>
      </c>
      <c r="B29" s="4" t="s">
        <v>106</v>
      </c>
      <c r="C29" s="4" t="s">
        <v>107</v>
      </c>
      <c r="D29" s="11" t="s">
        <v>108</v>
      </c>
      <c r="E29" s="4" t="s">
        <v>109</v>
      </c>
      <c r="F29" s="11" t="s">
        <v>112</v>
      </c>
      <c r="G29" s="4" t="s">
        <v>113</v>
      </c>
      <c r="H29" s="16" t="s">
        <v>59</v>
      </c>
      <c r="I29" s="11" t="s">
        <v>47</v>
      </c>
      <c r="J29" s="11" t="n">
        <v>3</v>
      </c>
      <c r="K29" s="11" t="n">
        <v>2</v>
      </c>
      <c r="L29" s="12" t="s">
        <v>48</v>
      </c>
      <c r="M29" s="13" t="n">
        <v>0</v>
      </c>
      <c r="N29" s="12"/>
      <c r="O29" s="12" t="n">
        <v>0</v>
      </c>
      <c r="P29" s="14"/>
    </row>
    <row r="30" customFormat="false" ht="30" hidden="false" customHeight="true" outlineLevel="0" collapsed="false">
      <c r="A30" s="16" t="n">
        <v>2</v>
      </c>
      <c r="B30" s="4" t="s">
        <v>106</v>
      </c>
      <c r="C30" s="4" t="s">
        <v>107</v>
      </c>
      <c r="D30" s="11" t="s">
        <v>108</v>
      </c>
      <c r="E30" s="4" t="s">
        <v>109</v>
      </c>
      <c r="F30" s="11" t="s">
        <v>114</v>
      </c>
      <c r="G30" s="4" t="s">
        <v>115</v>
      </c>
      <c r="H30" s="16" t="s">
        <v>56</v>
      </c>
      <c r="I30" s="11" t="s">
        <v>47</v>
      </c>
      <c r="J30" s="11" t="n">
        <v>4</v>
      </c>
      <c r="K30" s="11" t="n">
        <v>3</v>
      </c>
      <c r="L30" s="12" t="s">
        <v>48</v>
      </c>
      <c r="M30" s="13" t="n">
        <v>0</v>
      </c>
      <c r="N30" s="12"/>
      <c r="O30" s="12" t="n">
        <v>0</v>
      </c>
      <c r="P30" s="14"/>
    </row>
    <row r="31" customFormat="false" ht="30" hidden="false" customHeight="true" outlineLevel="0" collapsed="false">
      <c r="A31" s="16" t="n">
        <v>2</v>
      </c>
      <c r="B31" s="4" t="s">
        <v>106</v>
      </c>
      <c r="C31" s="4" t="s">
        <v>107</v>
      </c>
      <c r="D31" s="11" t="s">
        <v>108</v>
      </c>
      <c r="E31" s="4" t="s">
        <v>109</v>
      </c>
      <c r="F31" s="11" t="s">
        <v>116</v>
      </c>
      <c r="G31" s="4" t="s">
        <v>117</v>
      </c>
      <c r="H31" s="16" t="s">
        <v>56</v>
      </c>
      <c r="I31" s="11" t="s">
        <v>47</v>
      </c>
      <c r="J31" s="11" t="n">
        <v>5</v>
      </c>
      <c r="K31" s="11" t="n">
        <v>3</v>
      </c>
      <c r="L31" s="12" t="s">
        <v>48</v>
      </c>
      <c r="M31" s="13" t="n">
        <v>0</v>
      </c>
      <c r="N31" s="12"/>
      <c r="O31" s="12" t="n">
        <v>0</v>
      </c>
      <c r="P31" s="14"/>
    </row>
    <row r="32" customFormat="false" ht="30" hidden="false" customHeight="true" outlineLevel="0" collapsed="false">
      <c r="A32" s="16" t="n">
        <v>2</v>
      </c>
      <c r="B32" s="4" t="s">
        <v>106</v>
      </c>
      <c r="C32" s="4" t="s">
        <v>107</v>
      </c>
      <c r="D32" s="11" t="s">
        <v>108</v>
      </c>
      <c r="E32" s="4" t="s">
        <v>109</v>
      </c>
      <c r="F32" s="11" t="s">
        <v>118</v>
      </c>
      <c r="G32" s="4" t="s">
        <v>119</v>
      </c>
      <c r="H32" s="16" t="s">
        <v>53</v>
      </c>
      <c r="I32" s="11" t="s">
        <v>62</v>
      </c>
      <c r="J32" s="11" t="n">
        <v>4</v>
      </c>
      <c r="K32" s="11" t="n">
        <v>3</v>
      </c>
      <c r="L32" s="12" t="s">
        <v>48</v>
      </c>
      <c r="M32" s="13" t="n">
        <v>0</v>
      </c>
      <c r="N32" s="12"/>
      <c r="O32" s="12" t="n">
        <v>0</v>
      </c>
      <c r="P32" s="14"/>
    </row>
    <row r="33" customFormat="false" ht="30" hidden="false" customHeight="true" outlineLevel="0" collapsed="false">
      <c r="A33" s="16" t="n">
        <v>2</v>
      </c>
      <c r="B33" s="4" t="s">
        <v>106</v>
      </c>
      <c r="C33" s="4" t="s">
        <v>107</v>
      </c>
      <c r="D33" s="11" t="s">
        <v>108</v>
      </c>
      <c r="E33" s="4" t="s">
        <v>109</v>
      </c>
      <c r="F33" s="11" t="s">
        <v>120</v>
      </c>
      <c r="G33" s="4" t="s">
        <v>121</v>
      </c>
      <c r="H33" s="16" t="s">
        <v>53</v>
      </c>
      <c r="I33" s="11" t="s">
        <v>47</v>
      </c>
      <c r="J33" s="11" t="n">
        <v>5</v>
      </c>
      <c r="K33" s="11" t="n">
        <v>3</v>
      </c>
      <c r="L33" s="12" t="s">
        <v>48</v>
      </c>
      <c r="M33" s="13" t="n">
        <v>0</v>
      </c>
      <c r="N33" s="12"/>
      <c r="O33" s="12" t="n">
        <v>0</v>
      </c>
      <c r="P33" s="14"/>
    </row>
    <row r="34" customFormat="false" ht="30" hidden="false" customHeight="true" outlineLevel="0" collapsed="false">
      <c r="A34" s="16" t="n">
        <v>2</v>
      </c>
      <c r="B34" s="4" t="s">
        <v>106</v>
      </c>
      <c r="C34" s="4" t="s">
        <v>107</v>
      </c>
      <c r="D34" s="11" t="s">
        <v>108</v>
      </c>
      <c r="E34" s="4" t="s">
        <v>109</v>
      </c>
      <c r="F34" s="11" t="s">
        <v>122</v>
      </c>
      <c r="G34" s="4" t="s">
        <v>123</v>
      </c>
      <c r="H34" s="16" t="s">
        <v>53</v>
      </c>
      <c r="I34" s="11" t="s">
        <v>62</v>
      </c>
      <c r="J34" s="11" t="n">
        <v>3</v>
      </c>
      <c r="K34" s="11" t="n">
        <v>2</v>
      </c>
      <c r="L34" s="12" t="s">
        <v>48</v>
      </c>
      <c r="M34" s="13" t="n">
        <v>0</v>
      </c>
      <c r="N34" s="12"/>
      <c r="O34" s="12" t="n">
        <v>0</v>
      </c>
      <c r="P34" s="14"/>
    </row>
    <row r="35" customFormat="false" ht="30" hidden="false" customHeight="true" outlineLevel="0" collapsed="false">
      <c r="A35" s="16" t="n">
        <v>2</v>
      </c>
      <c r="B35" s="4" t="s">
        <v>106</v>
      </c>
      <c r="C35" s="4" t="s">
        <v>107</v>
      </c>
      <c r="D35" s="11" t="s">
        <v>108</v>
      </c>
      <c r="E35" s="4" t="s">
        <v>109</v>
      </c>
      <c r="F35" s="11" t="s">
        <v>124</v>
      </c>
      <c r="G35" s="4" t="s">
        <v>125</v>
      </c>
      <c r="H35" s="16" t="s">
        <v>56</v>
      </c>
      <c r="I35" s="11" t="s">
        <v>62</v>
      </c>
      <c r="J35" s="11" t="n">
        <v>2</v>
      </c>
      <c r="K35" s="11" t="n">
        <v>1</v>
      </c>
      <c r="L35" s="12" t="s">
        <v>48</v>
      </c>
      <c r="M35" s="13" t="n">
        <v>0</v>
      </c>
      <c r="N35" s="12"/>
      <c r="O35" s="12" t="n">
        <v>0</v>
      </c>
      <c r="P35" s="14"/>
    </row>
    <row r="36" customFormat="false" ht="30" hidden="false" customHeight="true" outlineLevel="0" collapsed="false">
      <c r="A36" s="12" t="n">
        <v>3</v>
      </c>
      <c r="B36" s="4" t="s">
        <v>126</v>
      </c>
      <c r="C36" s="4" t="s">
        <v>127</v>
      </c>
      <c r="D36" s="11" t="s">
        <v>128</v>
      </c>
      <c r="E36" s="4" t="s">
        <v>129</v>
      </c>
      <c r="F36" s="11" t="s">
        <v>130</v>
      </c>
      <c r="G36" s="4" t="s">
        <v>131</v>
      </c>
      <c r="H36" s="12" t="s">
        <v>59</v>
      </c>
      <c r="I36" s="11" t="s">
        <v>47</v>
      </c>
      <c r="J36" s="11" t="n">
        <v>3</v>
      </c>
      <c r="K36" s="11" t="n">
        <v>2</v>
      </c>
      <c r="L36" s="12" t="s">
        <v>48</v>
      </c>
      <c r="M36" s="13" t="n">
        <v>0</v>
      </c>
      <c r="N36" s="12"/>
      <c r="O36" s="12" t="n">
        <v>0</v>
      </c>
      <c r="P36" s="14"/>
    </row>
    <row r="37" customFormat="false" ht="30" hidden="false" customHeight="true" outlineLevel="0" collapsed="false">
      <c r="A37" s="12" t="n">
        <v>3</v>
      </c>
      <c r="B37" s="4" t="s">
        <v>126</v>
      </c>
      <c r="C37" s="4" t="s">
        <v>127</v>
      </c>
      <c r="D37" s="11" t="s">
        <v>128</v>
      </c>
      <c r="E37" s="4" t="s">
        <v>129</v>
      </c>
      <c r="F37" s="11" t="s">
        <v>132</v>
      </c>
      <c r="G37" s="4" t="s">
        <v>133</v>
      </c>
      <c r="H37" s="12" t="s">
        <v>56</v>
      </c>
      <c r="I37" s="11" t="s">
        <v>47</v>
      </c>
      <c r="J37" s="11" t="n">
        <v>5</v>
      </c>
      <c r="K37" s="11" t="n">
        <v>3</v>
      </c>
      <c r="L37" s="12" t="s">
        <v>48</v>
      </c>
      <c r="M37" s="13" t="n">
        <v>0</v>
      </c>
      <c r="N37" s="12"/>
      <c r="O37" s="12" t="n">
        <v>0</v>
      </c>
      <c r="P37" s="14"/>
    </row>
    <row r="38" customFormat="false" ht="30" hidden="false" customHeight="true" outlineLevel="0" collapsed="false">
      <c r="A38" s="12" t="n">
        <v>3</v>
      </c>
      <c r="B38" s="4" t="s">
        <v>126</v>
      </c>
      <c r="C38" s="4" t="s">
        <v>127</v>
      </c>
      <c r="D38" s="11" t="s">
        <v>128</v>
      </c>
      <c r="E38" s="4" t="s">
        <v>129</v>
      </c>
      <c r="F38" s="11" t="s">
        <v>134</v>
      </c>
      <c r="G38" s="4" t="s">
        <v>135</v>
      </c>
      <c r="H38" s="12" t="s">
        <v>56</v>
      </c>
      <c r="I38" s="11" t="s">
        <v>47</v>
      </c>
      <c r="J38" s="11" t="n">
        <v>5</v>
      </c>
      <c r="K38" s="11" t="n">
        <v>3</v>
      </c>
      <c r="L38" s="12" t="s">
        <v>48</v>
      </c>
      <c r="M38" s="13" t="n">
        <v>0</v>
      </c>
      <c r="N38" s="12"/>
      <c r="O38" s="12" t="n">
        <v>0</v>
      </c>
      <c r="P38" s="14"/>
    </row>
    <row r="39" customFormat="false" ht="30" hidden="false" customHeight="true" outlineLevel="0" collapsed="false">
      <c r="A39" s="12" t="n">
        <v>3</v>
      </c>
      <c r="B39" s="4" t="s">
        <v>126</v>
      </c>
      <c r="C39" s="4" t="s">
        <v>127</v>
      </c>
      <c r="D39" s="11" t="s">
        <v>128</v>
      </c>
      <c r="E39" s="4" t="s">
        <v>129</v>
      </c>
      <c r="F39" s="11" t="s">
        <v>136</v>
      </c>
      <c r="G39" s="4" t="s">
        <v>137</v>
      </c>
      <c r="H39" s="12" t="s">
        <v>56</v>
      </c>
      <c r="I39" s="11" t="s">
        <v>47</v>
      </c>
      <c r="J39" s="11" t="n">
        <v>4</v>
      </c>
      <c r="K39" s="11" t="n">
        <v>3</v>
      </c>
      <c r="L39" s="12" t="s">
        <v>48</v>
      </c>
      <c r="M39" s="13" t="n">
        <v>0</v>
      </c>
      <c r="N39" s="12"/>
      <c r="O39" s="12" t="n">
        <v>0</v>
      </c>
      <c r="P39" s="14"/>
    </row>
    <row r="40" customFormat="false" ht="30" hidden="false" customHeight="true" outlineLevel="0" collapsed="false">
      <c r="A40" s="12" t="n">
        <v>3</v>
      </c>
      <c r="B40" s="4" t="s">
        <v>126</v>
      </c>
      <c r="C40" s="4" t="s">
        <v>127</v>
      </c>
      <c r="D40" s="11" t="s">
        <v>128</v>
      </c>
      <c r="E40" s="4" t="s">
        <v>129</v>
      </c>
      <c r="F40" s="11" t="s">
        <v>138</v>
      </c>
      <c r="G40" s="4" t="s">
        <v>139</v>
      </c>
      <c r="H40" s="12" t="s">
        <v>56</v>
      </c>
      <c r="I40" s="11" t="s">
        <v>62</v>
      </c>
      <c r="J40" s="11" t="n">
        <v>3</v>
      </c>
      <c r="K40" s="11" t="n">
        <v>2</v>
      </c>
      <c r="L40" s="12" t="s">
        <v>48</v>
      </c>
      <c r="M40" s="13" t="n">
        <v>0</v>
      </c>
      <c r="N40" s="12"/>
      <c r="O40" s="12" t="n">
        <v>0</v>
      </c>
      <c r="P40" s="14"/>
    </row>
    <row r="41" customFormat="false" ht="30" hidden="false" customHeight="true" outlineLevel="0" collapsed="false">
      <c r="A41" s="12" t="n">
        <v>3</v>
      </c>
      <c r="B41" s="4" t="s">
        <v>126</v>
      </c>
      <c r="C41" s="4" t="s">
        <v>127</v>
      </c>
      <c r="D41" s="11" t="s">
        <v>128</v>
      </c>
      <c r="E41" s="4" t="s">
        <v>129</v>
      </c>
      <c r="F41" s="11" t="s">
        <v>140</v>
      </c>
      <c r="G41" s="4" t="s">
        <v>141</v>
      </c>
      <c r="H41" s="12" t="s">
        <v>56</v>
      </c>
      <c r="I41" s="11" t="s">
        <v>62</v>
      </c>
      <c r="J41" s="11" t="n">
        <v>3</v>
      </c>
      <c r="K41" s="11" t="n">
        <v>2</v>
      </c>
      <c r="L41" s="12" t="s">
        <v>48</v>
      </c>
      <c r="M41" s="13" t="n">
        <v>0</v>
      </c>
      <c r="N41" s="12"/>
      <c r="O41" s="12" t="n">
        <v>0</v>
      </c>
      <c r="P41" s="14"/>
    </row>
    <row r="42" customFormat="false" ht="30" hidden="false" customHeight="true" outlineLevel="0" collapsed="false">
      <c r="A42" s="12" t="n">
        <v>3</v>
      </c>
      <c r="B42" s="4" t="s">
        <v>126</v>
      </c>
      <c r="C42" s="4" t="s">
        <v>127</v>
      </c>
      <c r="D42" s="11" t="s">
        <v>128</v>
      </c>
      <c r="E42" s="4" t="s">
        <v>129</v>
      </c>
      <c r="F42" s="11" t="s">
        <v>142</v>
      </c>
      <c r="G42" s="4" t="s">
        <v>143</v>
      </c>
      <c r="H42" s="12" t="s">
        <v>53</v>
      </c>
      <c r="I42" s="11" t="s">
        <v>47</v>
      </c>
      <c r="J42" s="11" t="n">
        <v>6</v>
      </c>
      <c r="K42" s="11" t="n">
        <v>5</v>
      </c>
      <c r="L42" s="12" t="s">
        <v>48</v>
      </c>
      <c r="M42" s="13" t="n">
        <v>0</v>
      </c>
      <c r="N42" s="12"/>
      <c r="O42" s="12" t="n">
        <v>0</v>
      </c>
      <c r="P42" s="14"/>
    </row>
    <row r="43" customFormat="false" ht="30" hidden="false" customHeight="true" outlineLevel="0" collapsed="false">
      <c r="A43" s="12" t="n">
        <v>3</v>
      </c>
      <c r="B43" s="4" t="s">
        <v>126</v>
      </c>
      <c r="C43" s="4" t="s">
        <v>127</v>
      </c>
      <c r="D43" s="11" t="s">
        <v>128</v>
      </c>
      <c r="E43" s="4" t="s">
        <v>129</v>
      </c>
      <c r="F43" s="11" t="s">
        <v>144</v>
      </c>
      <c r="G43" s="4" t="s">
        <v>145</v>
      </c>
      <c r="H43" s="12" t="s">
        <v>53</v>
      </c>
      <c r="I43" s="11" t="s">
        <v>47</v>
      </c>
      <c r="J43" s="11" t="n">
        <v>4</v>
      </c>
      <c r="K43" s="11" t="n">
        <v>3</v>
      </c>
      <c r="L43" s="12" t="s">
        <v>48</v>
      </c>
      <c r="M43" s="13" t="n">
        <v>0</v>
      </c>
      <c r="N43" s="12"/>
      <c r="O43" s="12" t="n">
        <v>0</v>
      </c>
      <c r="P43" s="14"/>
    </row>
    <row r="44" customFormat="false" ht="30" hidden="false" customHeight="true" outlineLevel="0" collapsed="false">
      <c r="A44" s="12" t="n">
        <v>3</v>
      </c>
      <c r="B44" s="4" t="s">
        <v>126</v>
      </c>
      <c r="C44" s="4" t="s">
        <v>127</v>
      </c>
      <c r="D44" s="11" t="s">
        <v>128</v>
      </c>
      <c r="E44" s="4" t="s">
        <v>129</v>
      </c>
      <c r="F44" s="11" t="s">
        <v>146</v>
      </c>
      <c r="G44" s="4" t="s">
        <v>147</v>
      </c>
      <c r="H44" s="12" t="s">
        <v>59</v>
      </c>
      <c r="I44" s="11" t="s">
        <v>74</v>
      </c>
      <c r="J44" s="11" t="n">
        <v>2</v>
      </c>
      <c r="K44" s="11" t="n">
        <v>1</v>
      </c>
      <c r="L44" s="12" t="s">
        <v>48</v>
      </c>
      <c r="M44" s="13" t="n">
        <v>0</v>
      </c>
      <c r="N44" s="12"/>
      <c r="O44" s="12" t="n">
        <v>0</v>
      </c>
      <c r="P44" s="14"/>
    </row>
    <row r="45" customFormat="false" ht="30" hidden="false" customHeight="true" outlineLevel="0" collapsed="false">
      <c r="A45" s="12" t="n">
        <v>3</v>
      </c>
      <c r="B45" s="4" t="s">
        <v>126</v>
      </c>
      <c r="C45" s="4" t="s">
        <v>127</v>
      </c>
      <c r="D45" s="11" t="s">
        <v>128</v>
      </c>
      <c r="E45" s="4" t="s">
        <v>129</v>
      </c>
      <c r="F45" s="11" t="s">
        <v>148</v>
      </c>
      <c r="G45" s="4" t="s">
        <v>149</v>
      </c>
      <c r="H45" s="12" t="s">
        <v>105</v>
      </c>
      <c r="I45" s="11" t="s">
        <v>47</v>
      </c>
      <c r="J45" s="11" t="n">
        <v>3</v>
      </c>
      <c r="K45" s="11" t="n">
        <v>2</v>
      </c>
      <c r="L45" s="12" t="s">
        <v>48</v>
      </c>
      <c r="M45" s="13" t="n">
        <v>0</v>
      </c>
      <c r="N45" s="12"/>
      <c r="O45" s="12" t="n">
        <v>0</v>
      </c>
      <c r="P45" s="14"/>
    </row>
    <row r="46" customFormat="false" ht="30" hidden="false" customHeight="true" outlineLevel="0" collapsed="false">
      <c r="A46" s="10" t="n">
        <v>4</v>
      </c>
      <c r="B46" s="4" t="s">
        <v>150</v>
      </c>
      <c r="C46" s="4" t="s">
        <v>151</v>
      </c>
      <c r="D46" s="11" t="s">
        <v>152</v>
      </c>
      <c r="E46" s="4" t="s">
        <v>153</v>
      </c>
      <c r="F46" s="11" t="s">
        <v>154</v>
      </c>
      <c r="G46" s="4" t="s">
        <v>155</v>
      </c>
      <c r="H46" s="10" t="s">
        <v>59</v>
      </c>
      <c r="I46" s="11" t="s">
        <v>47</v>
      </c>
      <c r="J46" s="11" t="n">
        <v>3</v>
      </c>
      <c r="K46" s="11" t="n">
        <v>2</v>
      </c>
      <c r="L46" s="12" t="s">
        <v>48</v>
      </c>
      <c r="M46" s="13" t="n">
        <v>0</v>
      </c>
      <c r="N46" s="12"/>
      <c r="O46" s="12" t="n">
        <v>0</v>
      </c>
      <c r="P46" s="14"/>
    </row>
    <row r="47" customFormat="false" ht="30" hidden="false" customHeight="true" outlineLevel="0" collapsed="false">
      <c r="A47" s="10" t="n">
        <v>4</v>
      </c>
      <c r="B47" s="4" t="s">
        <v>150</v>
      </c>
      <c r="C47" s="4" t="s">
        <v>151</v>
      </c>
      <c r="D47" s="11" t="s">
        <v>152</v>
      </c>
      <c r="E47" s="4" t="s">
        <v>153</v>
      </c>
      <c r="F47" s="11" t="s">
        <v>156</v>
      </c>
      <c r="G47" s="4" t="s">
        <v>157</v>
      </c>
      <c r="H47" s="10" t="s">
        <v>56</v>
      </c>
      <c r="I47" s="11" t="s">
        <v>62</v>
      </c>
      <c r="J47" s="11" t="n">
        <v>3</v>
      </c>
      <c r="K47" s="11" t="n">
        <v>2</v>
      </c>
      <c r="L47" s="12" t="s">
        <v>48</v>
      </c>
      <c r="M47" s="13" t="n">
        <v>0</v>
      </c>
      <c r="N47" s="12"/>
      <c r="O47" s="12" t="n">
        <v>0</v>
      </c>
      <c r="P47" s="14"/>
    </row>
    <row r="48" customFormat="false" ht="30" hidden="false" customHeight="true" outlineLevel="0" collapsed="false">
      <c r="A48" s="10" t="n">
        <v>4</v>
      </c>
      <c r="B48" s="4" t="s">
        <v>150</v>
      </c>
      <c r="C48" s="4" t="s">
        <v>151</v>
      </c>
      <c r="D48" s="11" t="s">
        <v>152</v>
      </c>
      <c r="E48" s="4" t="s">
        <v>153</v>
      </c>
      <c r="F48" s="11" t="s">
        <v>158</v>
      </c>
      <c r="G48" s="4" t="s">
        <v>159</v>
      </c>
      <c r="H48" s="10" t="s">
        <v>56</v>
      </c>
      <c r="I48" s="11" t="s">
        <v>47</v>
      </c>
      <c r="J48" s="11" t="n">
        <v>6</v>
      </c>
      <c r="K48" s="11" t="n">
        <v>5</v>
      </c>
      <c r="L48" s="12" t="s">
        <v>48</v>
      </c>
      <c r="M48" s="13" t="n">
        <v>0</v>
      </c>
      <c r="N48" s="12"/>
      <c r="O48" s="12" t="n">
        <v>0</v>
      </c>
      <c r="P48" s="14"/>
    </row>
    <row r="49" customFormat="false" ht="30" hidden="false" customHeight="true" outlineLevel="0" collapsed="false">
      <c r="A49" s="10" t="n">
        <v>4</v>
      </c>
      <c r="B49" s="4" t="s">
        <v>150</v>
      </c>
      <c r="C49" s="4" t="s">
        <v>151</v>
      </c>
      <c r="D49" s="11" t="s">
        <v>152</v>
      </c>
      <c r="E49" s="4" t="s">
        <v>153</v>
      </c>
      <c r="F49" s="11" t="s">
        <v>160</v>
      </c>
      <c r="G49" s="4" t="s">
        <v>161</v>
      </c>
      <c r="H49" s="10" t="s">
        <v>56</v>
      </c>
      <c r="I49" s="11" t="s">
        <v>47</v>
      </c>
      <c r="J49" s="11" t="n">
        <v>5</v>
      </c>
      <c r="K49" s="11" t="n">
        <v>3</v>
      </c>
      <c r="L49" s="12" t="s">
        <v>48</v>
      </c>
      <c r="M49" s="13" t="n">
        <v>0</v>
      </c>
      <c r="N49" s="12"/>
      <c r="O49" s="12" t="n">
        <v>0</v>
      </c>
      <c r="P49" s="14"/>
    </row>
    <row r="50" customFormat="false" ht="30" hidden="false" customHeight="true" outlineLevel="0" collapsed="false">
      <c r="A50" s="10" t="n">
        <v>4</v>
      </c>
      <c r="B50" s="4" t="s">
        <v>150</v>
      </c>
      <c r="C50" s="4" t="s">
        <v>151</v>
      </c>
      <c r="D50" s="11" t="s">
        <v>152</v>
      </c>
      <c r="E50" s="4" t="s">
        <v>153</v>
      </c>
      <c r="F50" s="11" t="s">
        <v>162</v>
      </c>
      <c r="G50" s="4" t="s">
        <v>163</v>
      </c>
      <c r="H50" s="10" t="s">
        <v>53</v>
      </c>
      <c r="I50" s="11" t="s">
        <v>47</v>
      </c>
      <c r="J50" s="11" t="n">
        <v>8</v>
      </c>
      <c r="K50" s="11" t="n">
        <v>8</v>
      </c>
      <c r="L50" s="12" t="s">
        <v>48</v>
      </c>
      <c r="M50" s="13" t="n">
        <v>0</v>
      </c>
      <c r="N50" s="12"/>
      <c r="O50" s="12" t="n">
        <v>0</v>
      </c>
      <c r="P50" s="14"/>
    </row>
    <row r="51" customFormat="false" ht="30" hidden="false" customHeight="true" outlineLevel="0" collapsed="false">
      <c r="A51" s="10" t="n">
        <v>4</v>
      </c>
      <c r="B51" s="4" t="s">
        <v>150</v>
      </c>
      <c r="C51" s="4" t="s">
        <v>151</v>
      </c>
      <c r="D51" s="11" t="s">
        <v>152</v>
      </c>
      <c r="E51" s="4" t="s">
        <v>153</v>
      </c>
      <c r="F51" s="11" t="s">
        <v>164</v>
      </c>
      <c r="G51" s="4" t="s">
        <v>165</v>
      </c>
      <c r="H51" s="10" t="s">
        <v>53</v>
      </c>
      <c r="I51" s="11" t="s">
        <v>62</v>
      </c>
      <c r="J51" s="11" t="n">
        <v>3</v>
      </c>
      <c r="K51" s="11" t="n">
        <v>2</v>
      </c>
      <c r="L51" s="12" t="s">
        <v>48</v>
      </c>
      <c r="M51" s="13" t="n">
        <v>0</v>
      </c>
      <c r="N51" s="12"/>
      <c r="O51" s="12" t="n">
        <v>0</v>
      </c>
      <c r="P51" s="14"/>
    </row>
    <row r="52" customFormat="false" ht="30" hidden="false" customHeight="true" outlineLevel="0" collapsed="false">
      <c r="A52" s="10" t="n">
        <v>4</v>
      </c>
      <c r="B52" s="4" t="s">
        <v>150</v>
      </c>
      <c r="C52" s="4" t="s">
        <v>151</v>
      </c>
      <c r="D52" s="11" t="s">
        <v>152</v>
      </c>
      <c r="E52" s="4" t="s">
        <v>153</v>
      </c>
      <c r="F52" s="11" t="s">
        <v>166</v>
      </c>
      <c r="G52" s="4" t="s">
        <v>167</v>
      </c>
      <c r="H52" s="10" t="s">
        <v>105</v>
      </c>
      <c r="I52" s="11" t="s">
        <v>62</v>
      </c>
      <c r="J52" s="11" t="n">
        <v>3</v>
      </c>
      <c r="K52" s="11" t="n">
        <v>2</v>
      </c>
      <c r="L52" s="12" t="s">
        <v>48</v>
      </c>
      <c r="M52" s="13" t="n">
        <v>0</v>
      </c>
      <c r="N52" s="12"/>
      <c r="O52" s="12" t="n">
        <v>0</v>
      </c>
      <c r="P52" s="14"/>
    </row>
    <row r="53" customFormat="false" ht="30" hidden="false" customHeight="true" outlineLevel="0" collapsed="false">
      <c r="A53" s="15" t="n">
        <v>5</v>
      </c>
      <c r="B53" s="4" t="s">
        <v>168</v>
      </c>
      <c r="C53" s="4" t="s">
        <v>169</v>
      </c>
      <c r="D53" s="11" t="s">
        <v>170</v>
      </c>
      <c r="E53" s="4" t="s">
        <v>171</v>
      </c>
      <c r="F53" s="11" t="s">
        <v>172</v>
      </c>
      <c r="G53" s="4" t="s">
        <v>173</v>
      </c>
      <c r="H53" s="15" t="s">
        <v>59</v>
      </c>
      <c r="I53" s="11" t="s">
        <v>47</v>
      </c>
      <c r="J53" s="11" t="n">
        <v>2</v>
      </c>
      <c r="K53" s="11" t="n">
        <v>1</v>
      </c>
      <c r="L53" s="12" t="s">
        <v>48</v>
      </c>
      <c r="M53" s="13" t="n">
        <v>0</v>
      </c>
      <c r="N53" s="12"/>
      <c r="O53" s="12" t="n">
        <v>0</v>
      </c>
      <c r="P53" s="14"/>
    </row>
    <row r="54" customFormat="false" ht="30" hidden="false" customHeight="true" outlineLevel="0" collapsed="false">
      <c r="A54" s="15" t="n">
        <v>5</v>
      </c>
      <c r="B54" s="4" t="s">
        <v>168</v>
      </c>
      <c r="C54" s="4" t="s">
        <v>169</v>
      </c>
      <c r="D54" s="11" t="s">
        <v>170</v>
      </c>
      <c r="E54" s="4" t="s">
        <v>171</v>
      </c>
      <c r="F54" s="11" t="s">
        <v>174</v>
      </c>
      <c r="G54" s="4" t="s">
        <v>175</v>
      </c>
      <c r="H54" s="15" t="s">
        <v>56</v>
      </c>
      <c r="I54" s="11" t="s">
        <v>47</v>
      </c>
      <c r="J54" s="11" t="n">
        <v>6</v>
      </c>
      <c r="K54" s="11" t="n">
        <v>5</v>
      </c>
      <c r="L54" s="12" t="s">
        <v>48</v>
      </c>
      <c r="M54" s="13" t="n">
        <v>0</v>
      </c>
      <c r="N54" s="12"/>
      <c r="O54" s="12" t="n">
        <v>0</v>
      </c>
      <c r="P54" s="14"/>
    </row>
    <row r="55" customFormat="false" ht="30" hidden="false" customHeight="true" outlineLevel="0" collapsed="false">
      <c r="A55" s="15" t="n">
        <v>5</v>
      </c>
      <c r="B55" s="4" t="s">
        <v>168</v>
      </c>
      <c r="C55" s="4" t="s">
        <v>169</v>
      </c>
      <c r="D55" s="11" t="s">
        <v>170</v>
      </c>
      <c r="E55" s="4" t="s">
        <v>171</v>
      </c>
      <c r="F55" s="11" t="s">
        <v>176</v>
      </c>
      <c r="G55" s="4" t="s">
        <v>177</v>
      </c>
      <c r="H55" s="15" t="s">
        <v>56</v>
      </c>
      <c r="I55" s="11" t="s">
        <v>47</v>
      </c>
      <c r="J55" s="11" t="n">
        <v>4</v>
      </c>
      <c r="K55" s="11" t="n">
        <v>3</v>
      </c>
      <c r="L55" s="12" t="s">
        <v>48</v>
      </c>
      <c r="M55" s="13" t="n">
        <v>0</v>
      </c>
      <c r="N55" s="12"/>
      <c r="O55" s="12" t="n">
        <v>0</v>
      </c>
      <c r="P55" s="14"/>
    </row>
    <row r="56" customFormat="false" ht="30" hidden="false" customHeight="true" outlineLevel="0" collapsed="false">
      <c r="A56" s="15" t="n">
        <v>5</v>
      </c>
      <c r="B56" s="4" t="s">
        <v>168</v>
      </c>
      <c r="C56" s="4" t="s">
        <v>169</v>
      </c>
      <c r="D56" s="11" t="s">
        <v>170</v>
      </c>
      <c r="E56" s="4" t="s">
        <v>171</v>
      </c>
      <c r="F56" s="11" t="s">
        <v>178</v>
      </c>
      <c r="G56" s="4" t="s">
        <v>179</v>
      </c>
      <c r="H56" s="15" t="s">
        <v>59</v>
      </c>
      <c r="I56" s="11" t="s">
        <v>74</v>
      </c>
      <c r="J56" s="11" t="n">
        <v>2</v>
      </c>
      <c r="K56" s="11" t="n">
        <v>1</v>
      </c>
      <c r="L56" s="12" t="s">
        <v>48</v>
      </c>
      <c r="M56" s="13" t="n">
        <v>0</v>
      </c>
      <c r="N56" s="12"/>
      <c r="O56" s="12" t="n">
        <v>0</v>
      </c>
      <c r="P56" s="14"/>
    </row>
    <row r="57" customFormat="false" ht="30" hidden="false" customHeight="true" outlineLevel="0" collapsed="false">
      <c r="A57" s="15" t="n">
        <v>5</v>
      </c>
      <c r="B57" s="4" t="s">
        <v>168</v>
      </c>
      <c r="C57" s="4" t="s">
        <v>169</v>
      </c>
      <c r="D57" s="11" t="s">
        <v>170</v>
      </c>
      <c r="E57" s="4" t="s">
        <v>171</v>
      </c>
      <c r="F57" s="11" t="s">
        <v>180</v>
      </c>
      <c r="G57" s="4" t="s">
        <v>181</v>
      </c>
      <c r="H57" s="15" t="s">
        <v>53</v>
      </c>
      <c r="I57" s="11" t="s">
        <v>47</v>
      </c>
      <c r="J57" s="11" t="n">
        <v>5</v>
      </c>
      <c r="K57" s="11" t="n">
        <v>3</v>
      </c>
      <c r="L57" s="12" t="s">
        <v>48</v>
      </c>
      <c r="M57" s="13" t="n">
        <v>0</v>
      </c>
      <c r="N57" s="12"/>
      <c r="O57" s="12" t="n">
        <v>0</v>
      </c>
      <c r="P57" s="14"/>
    </row>
    <row r="58" customFormat="false" ht="30" hidden="false" customHeight="true" outlineLevel="0" collapsed="false">
      <c r="A58" s="15" t="n">
        <v>5</v>
      </c>
      <c r="B58" s="4" t="s">
        <v>168</v>
      </c>
      <c r="C58" s="4" t="s">
        <v>169</v>
      </c>
      <c r="D58" s="11" t="s">
        <v>170</v>
      </c>
      <c r="E58" s="4" t="s">
        <v>171</v>
      </c>
      <c r="F58" s="11" t="s">
        <v>182</v>
      </c>
      <c r="G58" s="4" t="s">
        <v>183</v>
      </c>
      <c r="H58" s="15" t="s">
        <v>53</v>
      </c>
      <c r="I58" s="11" t="s">
        <v>62</v>
      </c>
      <c r="J58" s="11" t="n">
        <v>3</v>
      </c>
      <c r="K58" s="11" t="n">
        <v>2</v>
      </c>
      <c r="L58" s="12" t="s">
        <v>48</v>
      </c>
      <c r="M58" s="13" t="n">
        <v>0</v>
      </c>
      <c r="N58" s="12"/>
      <c r="O58" s="12" t="n">
        <v>0</v>
      </c>
      <c r="P58" s="14"/>
    </row>
    <row r="59" customFormat="false" ht="30" hidden="false" customHeight="true" outlineLevel="0" collapsed="false">
      <c r="A59" s="15" t="n">
        <v>5</v>
      </c>
      <c r="B59" s="4" t="s">
        <v>168</v>
      </c>
      <c r="C59" s="4" t="s">
        <v>169</v>
      </c>
      <c r="D59" s="11" t="s">
        <v>170</v>
      </c>
      <c r="E59" s="4" t="s">
        <v>171</v>
      </c>
      <c r="F59" s="11" t="s">
        <v>184</v>
      </c>
      <c r="G59" s="4" t="s">
        <v>185</v>
      </c>
      <c r="H59" s="15" t="s">
        <v>56</v>
      </c>
      <c r="I59" s="11" t="s">
        <v>62</v>
      </c>
      <c r="J59" s="11" t="n">
        <v>3</v>
      </c>
      <c r="K59" s="11" t="n">
        <v>2</v>
      </c>
      <c r="L59" s="12" t="s">
        <v>48</v>
      </c>
      <c r="M59" s="13" t="n">
        <v>0</v>
      </c>
      <c r="N59" s="12"/>
      <c r="O59" s="12" t="n">
        <v>0</v>
      </c>
      <c r="P59" s="14"/>
    </row>
    <row r="60" customFormat="false" ht="30" hidden="false" customHeight="true" outlineLevel="0" collapsed="false">
      <c r="A60" s="16" t="n">
        <v>6</v>
      </c>
      <c r="B60" s="4" t="s">
        <v>186</v>
      </c>
      <c r="C60" s="4" t="s">
        <v>187</v>
      </c>
      <c r="D60" s="11" t="s">
        <v>188</v>
      </c>
      <c r="E60" s="4" t="s">
        <v>189</v>
      </c>
      <c r="F60" s="11" t="s">
        <v>190</v>
      </c>
      <c r="G60" s="4" t="s">
        <v>191</v>
      </c>
      <c r="H60" s="16" t="s">
        <v>59</v>
      </c>
      <c r="I60" s="11" t="s">
        <v>47</v>
      </c>
      <c r="J60" s="11" t="n">
        <v>3</v>
      </c>
      <c r="K60" s="11" t="n">
        <v>2</v>
      </c>
      <c r="L60" s="12" t="s">
        <v>48</v>
      </c>
      <c r="M60" s="13" t="n">
        <v>0</v>
      </c>
      <c r="N60" s="12"/>
      <c r="O60" s="12" t="n">
        <v>0</v>
      </c>
      <c r="P60" s="14"/>
    </row>
    <row r="61" customFormat="false" ht="30" hidden="false" customHeight="true" outlineLevel="0" collapsed="false">
      <c r="A61" s="16" t="n">
        <v>6</v>
      </c>
      <c r="B61" s="4" t="s">
        <v>186</v>
      </c>
      <c r="C61" s="4" t="s">
        <v>187</v>
      </c>
      <c r="D61" s="11" t="s">
        <v>188</v>
      </c>
      <c r="E61" s="4" t="s">
        <v>189</v>
      </c>
      <c r="F61" s="11" t="s">
        <v>192</v>
      </c>
      <c r="G61" s="4" t="s">
        <v>193</v>
      </c>
      <c r="H61" s="16" t="s">
        <v>56</v>
      </c>
      <c r="I61" s="11" t="s">
        <v>47</v>
      </c>
      <c r="J61" s="11" t="n">
        <v>5</v>
      </c>
      <c r="K61" s="11" t="n">
        <v>3</v>
      </c>
      <c r="L61" s="12" t="s">
        <v>48</v>
      </c>
      <c r="M61" s="13" t="n">
        <v>0</v>
      </c>
      <c r="N61" s="12"/>
      <c r="O61" s="12" t="n">
        <v>0</v>
      </c>
      <c r="P61" s="14"/>
    </row>
    <row r="62" customFormat="false" ht="30" hidden="false" customHeight="true" outlineLevel="0" collapsed="false">
      <c r="A62" s="16" t="n">
        <v>6</v>
      </c>
      <c r="B62" s="4" t="s">
        <v>186</v>
      </c>
      <c r="C62" s="4" t="s">
        <v>187</v>
      </c>
      <c r="D62" s="11" t="s">
        <v>188</v>
      </c>
      <c r="E62" s="4" t="s">
        <v>189</v>
      </c>
      <c r="F62" s="11" t="s">
        <v>194</v>
      </c>
      <c r="G62" s="4" t="s">
        <v>195</v>
      </c>
      <c r="H62" s="16" t="s">
        <v>56</v>
      </c>
      <c r="I62" s="11" t="s">
        <v>62</v>
      </c>
      <c r="J62" s="11" t="n">
        <v>4</v>
      </c>
      <c r="K62" s="11" t="n">
        <v>3</v>
      </c>
      <c r="L62" s="12" t="s">
        <v>48</v>
      </c>
      <c r="M62" s="13" t="n">
        <v>0</v>
      </c>
      <c r="N62" s="12"/>
      <c r="O62" s="12" t="n">
        <v>0</v>
      </c>
      <c r="P62" s="14"/>
    </row>
    <row r="63" customFormat="false" ht="30" hidden="false" customHeight="true" outlineLevel="0" collapsed="false">
      <c r="A63" s="16" t="n">
        <v>6</v>
      </c>
      <c r="B63" s="4" t="s">
        <v>186</v>
      </c>
      <c r="C63" s="4" t="s">
        <v>187</v>
      </c>
      <c r="D63" s="11" t="s">
        <v>188</v>
      </c>
      <c r="E63" s="4" t="s">
        <v>189</v>
      </c>
      <c r="F63" s="11" t="s">
        <v>196</v>
      </c>
      <c r="G63" s="4" t="s">
        <v>197</v>
      </c>
      <c r="H63" s="16" t="s">
        <v>56</v>
      </c>
      <c r="I63" s="11" t="s">
        <v>62</v>
      </c>
      <c r="J63" s="11" t="n">
        <v>4</v>
      </c>
      <c r="K63" s="11" t="n">
        <v>3</v>
      </c>
      <c r="L63" s="12" t="s">
        <v>48</v>
      </c>
      <c r="M63" s="13" t="n">
        <v>0</v>
      </c>
      <c r="N63" s="12"/>
      <c r="O63" s="12" t="n">
        <v>0</v>
      </c>
      <c r="P63" s="14"/>
    </row>
    <row r="64" customFormat="false" ht="30" hidden="false" customHeight="true" outlineLevel="0" collapsed="false">
      <c r="A64" s="16" t="n">
        <v>6</v>
      </c>
      <c r="B64" s="4" t="s">
        <v>186</v>
      </c>
      <c r="C64" s="4" t="s">
        <v>187</v>
      </c>
      <c r="D64" s="11" t="s">
        <v>188</v>
      </c>
      <c r="E64" s="4" t="s">
        <v>189</v>
      </c>
      <c r="F64" s="11" t="s">
        <v>198</v>
      </c>
      <c r="G64" s="4" t="s">
        <v>199</v>
      </c>
      <c r="H64" s="16" t="s">
        <v>53</v>
      </c>
      <c r="I64" s="11" t="s">
        <v>47</v>
      </c>
      <c r="J64" s="11" t="n">
        <v>5</v>
      </c>
      <c r="K64" s="11" t="n">
        <v>3</v>
      </c>
      <c r="L64" s="12" t="s">
        <v>48</v>
      </c>
      <c r="M64" s="13" t="n">
        <v>0</v>
      </c>
      <c r="N64" s="12"/>
      <c r="O64" s="12" t="n">
        <v>0</v>
      </c>
      <c r="P64" s="14"/>
    </row>
    <row r="65" customFormat="false" ht="30" hidden="false" customHeight="true" outlineLevel="0" collapsed="false">
      <c r="A65" s="16" t="n">
        <v>6</v>
      </c>
      <c r="B65" s="4" t="s">
        <v>186</v>
      </c>
      <c r="C65" s="4" t="s">
        <v>187</v>
      </c>
      <c r="D65" s="11" t="s">
        <v>188</v>
      </c>
      <c r="E65" s="4" t="s">
        <v>189</v>
      </c>
      <c r="F65" s="11" t="s">
        <v>200</v>
      </c>
      <c r="G65" s="4" t="s">
        <v>201</v>
      </c>
      <c r="H65" s="16" t="s">
        <v>56</v>
      </c>
      <c r="I65" s="11" t="s">
        <v>62</v>
      </c>
      <c r="J65" s="11" t="n">
        <v>4</v>
      </c>
      <c r="K65" s="11" t="n">
        <v>3</v>
      </c>
      <c r="L65" s="12" t="s">
        <v>48</v>
      </c>
      <c r="M65" s="13" t="n">
        <v>0</v>
      </c>
      <c r="N65" s="12"/>
      <c r="O65" s="12" t="n">
        <v>0</v>
      </c>
      <c r="P65" s="14"/>
    </row>
    <row r="66" customFormat="false" ht="30" hidden="false" customHeight="true" outlineLevel="0" collapsed="false">
      <c r="A66" s="16" t="n">
        <v>6</v>
      </c>
      <c r="B66" s="4" t="s">
        <v>186</v>
      </c>
      <c r="C66" s="4" t="s">
        <v>187</v>
      </c>
      <c r="D66" s="11" t="s">
        <v>188</v>
      </c>
      <c r="E66" s="4" t="s">
        <v>189</v>
      </c>
      <c r="F66" s="11" t="s">
        <v>202</v>
      </c>
      <c r="G66" s="4" t="s">
        <v>203</v>
      </c>
      <c r="H66" s="16" t="s">
        <v>105</v>
      </c>
      <c r="I66" s="11" t="s">
        <v>62</v>
      </c>
      <c r="J66" s="11" t="n">
        <v>3</v>
      </c>
      <c r="K66" s="11" t="n">
        <v>2</v>
      </c>
      <c r="L66" s="12" t="s">
        <v>48</v>
      </c>
      <c r="M66" s="13" t="n">
        <v>0</v>
      </c>
      <c r="N66" s="12"/>
      <c r="O66" s="12" t="n">
        <v>0</v>
      </c>
      <c r="P66" s="14"/>
    </row>
    <row r="67" customFormat="false" ht="30" hidden="false" customHeight="true" outlineLevel="0" collapsed="false">
      <c r="A67" s="12" t="n">
        <v>7</v>
      </c>
      <c r="B67" s="4" t="s">
        <v>204</v>
      </c>
      <c r="C67" s="4" t="s">
        <v>205</v>
      </c>
      <c r="D67" s="11" t="s">
        <v>206</v>
      </c>
      <c r="E67" s="4" t="s">
        <v>207</v>
      </c>
      <c r="F67" s="11" t="s">
        <v>208</v>
      </c>
      <c r="G67" s="4" t="s">
        <v>209</v>
      </c>
      <c r="H67" s="12" t="s">
        <v>59</v>
      </c>
      <c r="I67" s="11" t="s">
        <v>47</v>
      </c>
      <c r="J67" s="11" t="n">
        <v>3</v>
      </c>
      <c r="K67" s="11" t="n">
        <v>2</v>
      </c>
      <c r="L67" s="12" t="s">
        <v>48</v>
      </c>
      <c r="M67" s="13" t="n">
        <v>0</v>
      </c>
      <c r="N67" s="12"/>
      <c r="O67" s="12" t="n">
        <v>0</v>
      </c>
      <c r="P67" s="14"/>
    </row>
    <row r="68" customFormat="false" ht="30" hidden="false" customHeight="true" outlineLevel="0" collapsed="false">
      <c r="A68" s="12" t="n">
        <v>7</v>
      </c>
      <c r="B68" s="4" t="s">
        <v>204</v>
      </c>
      <c r="C68" s="4" t="s">
        <v>205</v>
      </c>
      <c r="D68" s="11" t="s">
        <v>206</v>
      </c>
      <c r="E68" s="4" t="s">
        <v>207</v>
      </c>
      <c r="F68" s="11" t="s">
        <v>210</v>
      </c>
      <c r="G68" s="4" t="s">
        <v>211</v>
      </c>
      <c r="H68" s="12" t="s">
        <v>56</v>
      </c>
      <c r="I68" s="11" t="s">
        <v>47</v>
      </c>
      <c r="J68" s="11" t="n">
        <v>6</v>
      </c>
      <c r="K68" s="11" t="n">
        <v>5</v>
      </c>
      <c r="L68" s="12" t="s">
        <v>48</v>
      </c>
      <c r="M68" s="13" t="n">
        <v>0</v>
      </c>
      <c r="N68" s="12"/>
      <c r="O68" s="12" t="n">
        <v>0</v>
      </c>
      <c r="P68" s="14"/>
    </row>
    <row r="69" customFormat="false" ht="30" hidden="false" customHeight="true" outlineLevel="0" collapsed="false">
      <c r="A69" s="12" t="n">
        <v>7</v>
      </c>
      <c r="B69" s="4" t="s">
        <v>204</v>
      </c>
      <c r="C69" s="4" t="s">
        <v>205</v>
      </c>
      <c r="D69" s="11" t="s">
        <v>206</v>
      </c>
      <c r="E69" s="4" t="s">
        <v>207</v>
      </c>
      <c r="F69" s="11" t="s">
        <v>212</v>
      </c>
      <c r="G69" s="4" t="s">
        <v>213</v>
      </c>
      <c r="H69" s="12" t="s">
        <v>56</v>
      </c>
      <c r="I69" s="11" t="s">
        <v>62</v>
      </c>
      <c r="J69" s="11" t="n">
        <v>4</v>
      </c>
      <c r="K69" s="11" t="n">
        <v>3</v>
      </c>
      <c r="L69" s="12" t="s">
        <v>48</v>
      </c>
      <c r="M69" s="13" t="n">
        <v>0</v>
      </c>
      <c r="N69" s="12"/>
      <c r="O69" s="12" t="n">
        <v>0</v>
      </c>
      <c r="P69" s="14"/>
    </row>
    <row r="70" customFormat="false" ht="30" hidden="false" customHeight="true" outlineLevel="0" collapsed="false">
      <c r="A70" s="12" t="n">
        <v>7</v>
      </c>
      <c r="B70" s="4" t="s">
        <v>204</v>
      </c>
      <c r="C70" s="4" t="s">
        <v>205</v>
      </c>
      <c r="D70" s="11" t="s">
        <v>206</v>
      </c>
      <c r="E70" s="4" t="s">
        <v>207</v>
      </c>
      <c r="F70" s="11" t="s">
        <v>214</v>
      </c>
      <c r="G70" s="4" t="s">
        <v>215</v>
      </c>
      <c r="H70" s="12" t="s">
        <v>53</v>
      </c>
      <c r="I70" s="11" t="s">
        <v>47</v>
      </c>
      <c r="J70" s="11" t="n">
        <v>4</v>
      </c>
      <c r="K70" s="11" t="n">
        <v>3</v>
      </c>
      <c r="L70" s="12" t="s">
        <v>48</v>
      </c>
      <c r="M70" s="13" t="n">
        <v>0</v>
      </c>
      <c r="N70" s="12"/>
      <c r="O70" s="12" t="n">
        <v>0</v>
      </c>
      <c r="P70" s="14"/>
    </row>
    <row r="71" customFormat="false" ht="30" hidden="false" customHeight="true" outlineLevel="0" collapsed="false">
      <c r="A71" s="12" t="n">
        <v>7</v>
      </c>
      <c r="B71" s="4" t="s">
        <v>204</v>
      </c>
      <c r="C71" s="4" t="s">
        <v>205</v>
      </c>
      <c r="D71" s="11" t="s">
        <v>206</v>
      </c>
      <c r="E71" s="4" t="s">
        <v>207</v>
      </c>
      <c r="F71" s="11" t="s">
        <v>216</v>
      </c>
      <c r="G71" s="4" t="s">
        <v>217</v>
      </c>
      <c r="H71" s="12" t="s">
        <v>53</v>
      </c>
      <c r="I71" s="11" t="s">
        <v>47</v>
      </c>
      <c r="J71" s="11" t="n">
        <v>5</v>
      </c>
      <c r="K71" s="11" t="n">
        <v>3</v>
      </c>
      <c r="L71" s="12" t="s">
        <v>48</v>
      </c>
      <c r="M71" s="13" t="n">
        <v>0</v>
      </c>
      <c r="N71" s="12"/>
      <c r="O71" s="12" t="n">
        <v>0</v>
      </c>
      <c r="P71" s="14"/>
    </row>
    <row r="72" customFormat="false" ht="30" hidden="false" customHeight="true" outlineLevel="0" collapsed="false">
      <c r="A72" s="12" t="n">
        <v>7</v>
      </c>
      <c r="B72" s="4" t="s">
        <v>204</v>
      </c>
      <c r="C72" s="4" t="s">
        <v>205</v>
      </c>
      <c r="D72" s="11" t="s">
        <v>206</v>
      </c>
      <c r="E72" s="4" t="s">
        <v>207</v>
      </c>
      <c r="F72" s="11" t="s">
        <v>218</v>
      </c>
      <c r="G72" s="4" t="s">
        <v>219</v>
      </c>
      <c r="H72" s="12" t="s">
        <v>53</v>
      </c>
      <c r="I72" s="11" t="s">
        <v>62</v>
      </c>
      <c r="J72" s="11" t="n">
        <v>4</v>
      </c>
      <c r="K72" s="11" t="n">
        <v>3</v>
      </c>
      <c r="L72" s="12" t="s">
        <v>48</v>
      </c>
      <c r="M72" s="13" t="n">
        <v>0</v>
      </c>
      <c r="N72" s="12"/>
      <c r="O72" s="12" t="n">
        <v>0</v>
      </c>
      <c r="P72" s="14"/>
    </row>
    <row r="73" customFormat="false" ht="30" hidden="false" customHeight="true" outlineLevel="0" collapsed="false">
      <c r="A73" s="12" t="n">
        <v>7</v>
      </c>
      <c r="B73" s="4" t="s">
        <v>204</v>
      </c>
      <c r="C73" s="4" t="s">
        <v>205</v>
      </c>
      <c r="D73" s="11" t="s">
        <v>206</v>
      </c>
      <c r="E73" s="4" t="s">
        <v>207</v>
      </c>
      <c r="F73" s="11" t="s">
        <v>220</v>
      </c>
      <c r="G73" s="4" t="s">
        <v>221</v>
      </c>
      <c r="H73" s="12" t="s">
        <v>105</v>
      </c>
      <c r="I73" s="11" t="s">
        <v>62</v>
      </c>
      <c r="J73" s="11" t="n">
        <v>3</v>
      </c>
      <c r="K73" s="11" t="n">
        <v>2</v>
      </c>
      <c r="L73" s="12" t="s">
        <v>48</v>
      </c>
      <c r="M73" s="13" t="n">
        <v>0</v>
      </c>
      <c r="N73" s="12"/>
      <c r="O73" s="12" t="n">
        <v>0</v>
      </c>
      <c r="P73" s="14"/>
    </row>
    <row r="74" customFormat="false" ht="30" hidden="false" customHeight="true" outlineLevel="0" collapsed="false">
      <c r="A74" s="10" t="n">
        <v>8</v>
      </c>
      <c r="B74" s="4" t="s">
        <v>222</v>
      </c>
      <c r="C74" s="4" t="s">
        <v>223</v>
      </c>
      <c r="D74" s="11" t="s">
        <v>224</v>
      </c>
      <c r="E74" s="4" t="s">
        <v>225</v>
      </c>
      <c r="F74" s="11" t="s">
        <v>226</v>
      </c>
      <c r="G74" s="4" t="s">
        <v>227</v>
      </c>
      <c r="H74" s="10" t="s">
        <v>56</v>
      </c>
      <c r="I74" s="11" t="s">
        <v>47</v>
      </c>
      <c r="J74" s="11" t="n">
        <v>3</v>
      </c>
      <c r="K74" s="11" t="n">
        <v>2</v>
      </c>
      <c r="L74" s="12" t="s">
        <v>48</v>
      </c>
      <c r="M74" s="13" t="n">
        <v>0</v>
      </c>
      <c r="N74" s="12"/>
      <c r="O74" s="12" t="n">
        <v>0</v>
      </c>
      <c r="P74" s="14"/>
    </row>
    <row r="75" customFormat="false" ht="30" hidden="false" customHeight="true" outlineLevel="0" collapsed="false">
      <c r="A75" s="10" t="n">
        <v>8</v>
      </c>
      <c r="B75" s="4" t="s">
        <v>222</v>
      </c>
      <c r="C75" s="4" t="s">
        <v>223</v>
      </c>
      <c r="D75" s="11" t="s">
        <v>224</v>
      </c>
      <c r="E75" s="4" t="s">
        <v>225</v>
      </c>
      <c r="F75" s="11" t="s">
        <v>228</v>
      </c>
      <c r="G75" s="4" t="s">
        <v>229</v>
      </c>
      <c r="H75" s="10" t="s">
        <v>56</v>
      </c>
      <c r="I75" s="11" t="s">
        <v>47</v>
      </c>
      <c r="J75" s="11" t="n">
        <v>6</v>
      </c>
      <c r="K75" s="11" t="n">
        <v>5</v>
      </c>
      <c r="L75" s="12" t="s">
        <v>48</v>
      </c>
      <c r="M75" s="13" t="n">
        <v>0</v>
      </c>
      <c r="N75" s="12"/>
      <c r="O75" s="12" t="n">
        <v>0</v>
      </c>
      <c r="P75" s="14"/>
    </row>
    <row r="76" customFormat="false" ht="30" hidden="false" customHeight="true" outlineLevel="0" collapsed="false">
      <c r="A76" s="10" t="n">
        <v>8</v>
      </c>
      <c r="B76" s="4" t="s">
        <v>222</v>
      </c>
      <c r="C76" s="4" t="s">
        <v>223</v>
      </c>
      <c r="D76" s="11" t="s">
        <v>224</v>
      </c>
      <c r="E76" s="4" t="s">
        <v>225</v>
      </c>
      <c r="F76" s="11" t="s">
        <v>230</v>
      </c>
      <c r="G76" s="4" t="s">
        <v>231</v>
      </c>
      <c r="H76" s="10" t="s">
        <v>56</v>
      </c>
      <c r="I76" s="11" t="s">
        <v>62</v>
      </c>
      <c r="J76" s="11" t="n">
        <v>4</v>
      </c>
      <c r="K76" s="11" t="n">
        <v>3</v>
      </c>
      <c r="L76" s="12" t="s">
        <v>48</v>
      </c>
      <c r="M76" s="13" t="n">
        <v>0</v>
      </c>
      <c r="N76" s="12"/>
      <c r="O76" s="12" t="n">
        <v>0</v>
      </c>
      <c r="P76" s="14"/>
    </row>
    <row r="77" customFormat="false" ht="30" hidden="false" customHeight="true" outlineLevel="0" collapsed="false">
      <c r="A77" s="10" t="n">
        <v>8</v>
      </c>
      <c r="B77" s="4" t="s">
        <v>222</v>
      </c>
      <c r="C77" s="4" t="s">
        <v>223</v>
      </c>
      <c r="D77" s="11" t="s">
        <v>224</v>
      </c>
      <c r="E77" s="4" t="s">
        <v>225</v>
      </c>
      <c r="F77" s="11" t="s">
        <v>232</v>
      </c>
      <c r="G77" s="4" t="s">
        <v>233</v>
      </c>
      <c r="H77" s="10" t="s">
        <v>56</v>
      </c>
      <c r="I77" s="11" t="s">
        <v>62</v>
      </c>
      <c r="J77" s="11" t="n">
        <v>4</v>
      </c>
      <c r="K77" s="11" t="n">
        <v>3</v>
      </c>
      <c r="L77" s="12" t="s">
        <v>48</v>
      </c>
      <c r="M77" s="13" t="n">
        <v>0</v>
      </c>
      <c r="N77" s="12"/>
      <c r="O77" s="12" t="n">
        <v>0</v>
      </c>
      <c r="P77" s="14"/>
    </row>
    <row r="78" customFormat="false" ht="30" hidden="false" customHeight="true" outlineLevel="0" collapsed="false">
      <c r="A78" s="10" t="n">
        <v>8</v>
      </c>
      <c r="B78" s="4" t="s">
        <v>222</v>
      </c>
      <c r="C78" s="4" t="s">
        <v>223</v>
      </c>
      <c r="D78" s="11" t="s">
        <v>224</v>
      </c>
      <c r="E78" s="4" t="s">
        <v>225</v>
      </c>
      <c r="F78" s="11" t="s">
        <v>234</v>
      </c>
      <c r="G78" s="4" t="s">
        <v>235</v>
      </c>
      <c r="H78" s="10" t="s">
        <v>56</v>
      </c>
      <c r="I78" s="11" t="s">
        <v>62</v>
      </c>
      <c r="J78" s="11" t="n">
        <v>4</v>
      </c>
      <c r="K78" s="11" t="n">
        <v>3</v>
      </c>
      <c r="L78" s="12" t="s">
        <v>48</v>
      </c>
      <c r="M78" s="13" t="n">
        <v>0</v>
      </c>
      <c r="N78" s="12"/>
      <c r="O78" s="12" t="n">
        <v>0</v>
      </c>
      <c r="P78" s="14"/>
    </row>
    <row r="79" customFormat="false" ht="30" hidden="false" customHeight="true" outlineLevel="0" collapsed="false">
      <c r="A79" s="10" t="n">
        <v>8</v>
      </c>
      <c r="B79" s="4" t="s">
        <v>222</v>
      </c>
      <c r="C79" s="4" t="s">
        <v>223</v>
      </c>
      <c r="D79" s="11" t="s">
        <v>224</v>
      </c>
      <c r="E79" s="4" t="s">
        <v>225</v>
      </c>
      <c r="F79" s="11" t="s">
        <v>236</v>
      </c>
      <c r="G79" s="4" t="s">
        <v>237</v>
      </c>
      <c r="H79" s="10" t="s">
        <v>53</v>
      </c>
      <c r="I79" s="11" t="s">
        <v>47</v>
      </c>
      <c r="J79" s="11" t="n">
        <v>6</v>
      </c>
      <c r="K79" s="11" t="n">
        <v>5</v>
      </c>
      <c r="L79" s="12" t="s">
        <v>48</v>
      </c>
      <c r="M79" s="13" t="n">
        <v>0</v>
      </c>
      <c r="N79" s="12"/>
      <c r="O79" s="12" t="n">
        <v>0</v>
      </c>
      <c r="P79" s="14"/>
    </row>
    <row r="80" customFormat="false" ht="30" hidden="false" customHeight="true" outlineLevel="0" collapsed="false">
      <c r="A80" s="10" t="n">
        <v>8</v>
      </c>
      <c r="B80" s="4" t="s">
        <v>222</v>
      </c>
      <c r="C80" s="4" t="s">
        <v>223</v>
      </c>
      <c r="D80" s="11" t="s">
        <v>224</v>
      </c>
      <c r="E80" s="4" t="s">
        <v>225</v>
      </c>
      <c r="F80" s="11" t="s">
        <v>238</v>
      </c>
      <c r="G80" s="4" t="s">
        <v>239</v>
      </c>
      <c r="H80" s="10" t="s">
        <v>53</v>
      </c>
      <c r="I80" s="11" t="s">
        <v>74</v>
      </c>
      <c r="J80" s="11" t="n">
        <v>3</v>
      </c>
      <c r="K80" s="11" t="n">
        <v>2</v>
      </c>
      <c r="L80" s="12" t="s">
        <v>48</v>
      </c>
      <c r="M80" s="13" t="n">
        <v>0</v>
      </c>
      <c r="N80" s="12"/>
      <c r="O80" s="12" t="n">
        <v>0</v>
      </c>
      <c r="P80" s="14"/>
    </row>
    <row r="81" customFormat="false" ht="30" hidden="false" customHeight="true" outlineLevel="0" collapsed="false">
      <c r="A81" s="10" t="n">
        <v>8</v>
      </c>
      <c r="B81" s="4" t="s">
        <v>222</v>
      </c>
      <c r="C81" s="4" t="s">
        <v>223</v>
      </c>
      <c r="D81" s="11" t="s">
        <v>224</v>
      </c>
      <c r="E81" s="4" t="s">
        <v>225</v>
      </c>
      <c r="F81" s="11" t="s">
        <v>240</v>
      </c>
      <c r="G81" s="4" t="s">
        <v>241</v>
      </c>
      <c r="H81" s="10" t="s">
        <v>105</v>
      </c>
      <c r="I81" s="11" t="s">
        <v>47</v>
      </c>
      <c r="J81" s="11" t="n">
        <v>4</v>
      </c>
      <c r="K81" s="11" t="n">
        <v>3</v>
      </c>
      <c r="L81" s="12" t="s">
        <v>48</v>
      </c>
      <c r="M81" s="13" t="n">
        <v>0</v>
      </c>
      <c r="N81" s="12"/>
      <c r="O81" s="12" t="n">
        <v>0</v>
      </c>
      <c r="P81" s="14"/>
    </row>
    <row r="82" customFormat="false" ht="30" hidden="false" customHeight="true" outlineLevel="0" collapsed="false">
      <c r="A82" s="15" t="n">
        <v>9</v>
      </c>
      <c r="B82" s="4" t="s">
        <v>242</v>
      </c>
      <c r="C82" s="4" t="s">
        <v>243</v>
      </c>
      <c r="D82" s="11" t="s">
        <v>244</v>
      </c>
      <c r="E82" s="4" t="s">
        <v>245</v>
      </c>
      <c r="F82" s="11" t="s">
        <v>246</v>
      </c>
      <c r="G82" s="4" t="s">
        <v>247</v>
      </c>
      <c r="H82" s="15" t="s">
        <v>248</v>
      </c>
      <c r="I82" s="11" t="s">
        <v>62</v>
      </c>
      <c r="J82" s="11" t="n">
        <v>2</v>
      </c>
      <c r="K82" s="11" t="n">
        <v>1</v>
      </c>
      <c r="L82" s="12" t="s">
        <v>48</v>
      </c>
      <c r="M82" s="13" t="n">
        <v>0</v>
      </c>
      <c r="N82" s="12"/>
      <c r="O82" s="12" t="n">
        <v>0</v>
      </c>
      <c r="P82" s="14"/>
    </row>
    <row r="83" customFormat="false" ht="30" hidden="false" customHeight="true" outlineLevel="0" collapsed="false">
      <c r="A83" s="15" t="n">
        <v>9</v>
      </c>
      <c r="B83" s="4" t="s">
        <v>242</v>
      </c>
      <c r="C83" s="4" t="s">
        <v>243</v>
      </c>
      <c r="D83" s="11" t="s">
        <v>244</v>
      </c>
      <c r="E83" s="4" t="s">
        <v>245</v>
      </c>
      <c r="F83" s="11" t="s">
        <v>249</v>
      </c>
      <c r="G83" s="4" t="s">
        <v>250</v>
      </c>
      <c r="H83" s="15" t="s">
        <v>248</v>
      </c>
      <c r="I83" s="11" t="s">
        <v>62</v>
      </c>
      <c r="J83" s="11" t="n">
        <v>3</v>
      </c>
      <c r="K83" s="11" t="n">
        <v>2</v>
      </c>
      <c r="L83" s="12" t="s">
        <v>48</v>
      </c>
      <c r="M83" s="13" t="n">
        <v>0</v>
      </c>
      <c r="N83" s="12"/>
      <c r="O83" s="12" t="n">
        <v>0</v>
      </c>
      <c r="P83" s="14"/>
    </row>
    <row r="84" customFormat="false" ht="30" hidden="false" customHeight="true" outlineLevel="0" collapsed="false">
      <c r="A84" s="15" t="n">
        <v>9</v>
      </c>
      <c r="B84" s="4" t="s">
        <v>242</v>
      </c>
      <c r="C84" s="4" t="s">
        <v>243</v>
      </c>
      <c r="D84" s="11" t="s">
        <v>244</v>
      </c>
      <c r="E84" s="4" t="s">
        <v>245</v>
      </c>
      <c r="F84" s="11" t="s">
        <v>251</v>
      </c>
      <c r="G84" s="4" t="s">
        <v>252</v>
      </c>
      <c r="H84" s="15" t="s">
        <v>56</v>
      </c>
      <c r="I84" s="11" t="s">
        <v>47</v>
      </c>
      <c r="J84" s="11" t="n">
        <v>6</v>
      </c>
      <c r="K84" s="11" t="n">
        <v>5</v>
      </c>
      <c r="L84" s="12" t="s">
        <v>48</v>
      </c>
      <c r="M84" s="13" t="n">
        <v>0</v>
      </c>
      <c r="N84" s="12"/>
      <c r="O84" s="12" t="n">
        <v>0</v>
      </c>
      <c r="P84" s="14"/>
    </row>
    <row r="85" customFormat="false" ht="30" hidden="false" customHeight="true" outlineLevel="0" collapsed="false">
      <c r="A85" s="15" t="n">
        <v>9</v>
      </c>
      <c r="B85" s="4" t="s">
        <v>242</v>
      </c>
      <c r="C85" s="4" t="s">
        <v>243</v>
      </c>
      <c r="D85" s="11" t="s">
        <v>244</v>
      </c>
      <c r="E85" s="4" t="s">
        <v>245</v>
      </c>
      <c r="F85" s="11" t="s">
        <v>253</v>
      </c>
      <c r="G85" s="4" t="s">
        <v>254</v>
      </c>
      <c r="H85" s="15" t="s">
        <v>56</v>
      </c>
      <c r="I85" s="11" t="s">
        <v>62</v>
      </c>
      <c r="J85" s="11" t="n">
        <v>4</v>
      </c>
      <c r="K85" s="11" t="n">
        <v>3</v>
      </c>
      <c r="L85" s="12" t="s">
        <v>48</v>
      </c>
      <c r="M85" s="13" t="n">
        <v>0</v>
      </c>
      <c r="N85" s="12"/>
      <c r="O85" s="12" t="n">
        <v>0</v>
      </c>
      <c r="P85" s="14"/>
    </row>
    <row r="86" customFormat="false" ht="30" hidden="false" customHeight="true" outlineLevel="0" collapsed="false">
      <c r="A86" s="15" t="n">
        <v>9</v>
      </c>
      <c r="B86" s="4" t="s">
        <v>242</v>
      </c>
      <c r="C86" s="4" t="s">
        <v>243</v>
      </c>
      <c r="D86" s="11" t="s">
        <v>244</v>
      </c>
      <c r="E86" s="4" t="s">
        <v>245</v>
      </c>
      <c r="F86" s="11" t="s">
        <v>255</v>
      </c>
      <c r="G86" s="4" t="s">
        <v>256</v>
      </c>
      <c r="H86" s="15" t="s">
        <v>56</v>
      </c>
      <c r="I86" s="11" t="s">
        <v>47</v>
      </c>
      <c r="J86" s="11" t="n">
        <v>4</v>
      </c>
      <c r="K86" s="11" t="n">
        <v>3</v>
      </c>
      <c r="L86" s="12" t="s">
        <v>48</v>
      </c>
      <c r="M86" s="13" t="n">
        <v>0</v>
      </c>
      <c r="N86" s="12"/>
      <c r="O86" s="12" t="n">
        <v>0</v>
      </c>
      <c r="P86" s="14"/>
    </row>
    <row r="87" customFormat="false" ht="30" hidden="false" customHeight="true" outlineLevel="0" collapsed="false">
      <c r="A87" s="15" t="n">
        <v>9</v>
      </c>
      <c r="B87" s="4" t="s">
        <v>242</v>
      </c>
      <c r="C87" s="4" t="s">
        <v>243</v>
      </c>
      <c r="D87" s="11" t="s">
        <v>244</v>
      </c>
      <c r="E87" s="4" t="s">
        <v>245</v>
      </c>
      <c r="F87" s="11" t="s">
        <v>257</v>
      </c>
      <c r="G87" s="4" t="s">
        <v>258</v>
      </c>
      <c r="H87" s="15" t="s">
        <v>53</v>
      </c>
      <c r="I87" s="11" t="s">
        <v>47</v>
      </c>
      <c r="J87" s="11" t="n">
        <v>5</v>
      </c>
      <c r="K87" s="11" t="n">
        <v>3</v>
      </c>
      <c r="L87" s="12" t="s">
        <v>48</v>
      </c>
      <c r="M87" s="13" t="n">
        <v>0</v>
      </c>
      <c r="N87" s="12"/>
      <c r="O87" s="12" t="n">
        <v>0</v>
      </c>
      <c r="P87" s="14"/>
    </row>
    <row r="88" customFormat="false" ht="30" hidden="false" customHeight="true" outlineLevel="0" collapsed="false">
      <c r="A88" s="15" t="n">
        <v>9</v>
      </c>
      <c r="B88" s="4" t="s">
        <v>242</v>
      </c>
      <c r="C88" s="4" t="s">
        <v>243</v>
      </c>
      <c r="D88" s="11" t="s">
        <v>244</v>
      </c>
      <c r="E88" s="4" t="s">
        <v>245</v>
      </c>
      <c r="F88" s="11" t="s">
        <v>259</v>
      </c>
      <c r="G88" s="4" t="s">
        <v>260</v>
      </c>
      <c r="H88" s="15" t="s">
        <v>53</v>
      </c>
      <c r="I88" s="11" t="s">
        <v>74</v>
      </c>
      <c r="J88" s="11" t="n">
        <v>4</v>
      </c>
      <c r="K88" s="11" t="n">
        <v>3</v>
      </c>
      <c r="L88" s="12" t="s">
        <v>48</v>
      </c>
      <c r="M88" s="13" t="n">
        <v>0</v>
      </c>
      <c r="N88" s="12"/>
      <c r="O88" s="12" t="n">
        <v>0</v>
      </c>
      <c r="P88" s="14"/>
    </row>
    <row r="89" customFormat="false" ht="30" hidden="false" customHeight="true" outlineLevel="0" collapsed="false">
      <c r="A89" s="15" t="n">
        <v>9</v>
      </c>
      <c r="B89" s="4" t="s">
        <v>242</v>
      </c>
      <c r="C89" s="4" t="s">
        <v>243</v>
      </c>
      <c r="D89" s="11" t="s">
        <v>244</v>
      </c>
      <c r="E89" s="4" t="s">
        <v>245</v>
      </c>
      <c r="F89" s="11" t="s">
        <v>261</v>
      </c>
      <c r="G89" s="4" t="s">
        <v>262</v>
      </c>
      <c r="H89" s="15" t="s">
        <v>105</v>
      </c>
      <c r="I89" s="11" t="s">
        <v>62</v>
      </c>
      <c r="J89" s="11" t="n">
        <v>3</v>
      </c>
      <c r="K89" s="11" t="n">
        <v>2</v>
      </c>
      <c r="L89" s="12" t="s">
        <v>48</v>
      </c>
      <c r="M89" s="13" t="n">
        <v>0</v>
      </c>
      <c r="N89" s="12"/>
      <c r="O89" s="12" t="n">
        <v>0</v>
      </c>
      <c r="P89" s="14"/>
    </row>
    <row r="90" customFormat="false" ht="30" hidden="false" customHeight="true" outlineLevel="0" collapsed="false">
      <c r="A90" s="16" t="n">
        <v>10</v>
      </c>
      <c r="B90" s="4" t="s">
        <v>263</v>
      </c>
      <c r="C90" s="4" t="s">
        <v>264</v>
      </c>
      <c r="D90" s="11" t="s">
        <v>265</v>
      </c>
      <c r="E90" s="4" t="s">
        <v>266</v>
      </c>
      <c r="F90" s="11" t="s">
        <v>267</v>
      </c>
      <c r="G90" s="4" t="s">
        <v>268</v>
      </c>
      <c r="H90" s="16" t="s">
        <v>56</v>
      </c>
      <c r="I90" s="11" t="s">
        <v>47</v>
      </c>
      <c r="J90" s="11" t="n">
        <v>4</v>
      </c>
      <c r="K90" s="11" t="n">
        <v>3</v>
      </c>
      <c r="L90" s="12" t="s">
        <v>48</v>
      </c>
      <c r="M90" s="13" t="n">
        <v>0</v>
      </c>
      <c r="N90" s="12"/>
      <c r="O90" s="12" t="n">
        <v>0</v>
      </c>
      <c r="P90" s="14"/>
    </row>
    <row r="91" customFormat="false" ht="30" hidden="false" customHeight="true" outlineLevel="0" collapsed="false">
      <c r="A91" s="16" t="n">
        <v>10</v>
      </c>
      <c r="B91" s="4" t="s">
        <v>263</v>
      </c>
      <c r="C91" s="4" t="s">
        <v>264</v>
      </c>
      <c r="D91" s="11" t="s">
        <v>265</v>
      </c>
      <c r="E91" s="4" t="s">
        <v>266</v>
      </c>
      <c r="F91" s="11" t="s">
        <v>269</v>
      </c>
      <c r="G91" s="4" t="s">
        <v>270</v>
      </c>
      <c r="H91" s="16" t="s">
        <v>248</v>
      </c>
      <c r="I91" s="11" t="s">
        <v>47</v>
      </c>
      <c r="J91" s="11" t="n">
        <v>4</v>
      </c>
      <c r="K91" s="11" t="n">
        <v>3</v>
      </c>
      <c r="L91" s="12" t="s">
        <v>48</v>
      </c>
      <c r="M91" s="13" t="n">
        <v>0</v>
      </c>
      <c r="N91" s="12"/>
      <c r="O91" s="12" t="n">
        <v>0</v>
      </c>
      <c r="P91" s="14"/>
    </row>
    <row r="92" customFormat="false" ht="30" hidden="false" customHeight="true" outlineLevel="0" collapsed="false">
      <c r="A92" s="16" t="n">
        <v>10</v>
      </c>
      <c r="B92" s="4" t="s">
        <v>263</v>
      </c>
      <c r="C92" s="4" t="s">
        <v>264</v>
      </c>
      <c r="D92" s="11" t="s">
        <v>265</v>
      </c>
      <c r="E92" s="4" t="s">
        <v>266</v>
      </c>
      <c r="F92" s="11" t="s">
        <v>271</v>
      </c>
      <c r="G92" s="4" t="s">
        <v>272</v>
      </c>
      <c r="H92" s="16" t="s">
        <v>56</v>
      </c>
      <c r="I92" s="11" t="s">
        <v>47</v>
      </c>
      <c r="J92" s="11" t="n">
        <v>6</v>
      </c>
      <c r="K92" s="11" t="n">
        <v>5</v>
      </c>
      <c r="L92" s="12" t="s">
        <v>48</v>
      </c>
      <c r="M92" s="13" t="n">
        <v>0</v>
      </c>
      <c r="N92" s="12"/>
      <c r="O92" s="12" t="n">
        <v>0</v>
      </c>
      <c r="P92" s="14"/>
    </row>
    <row r="93" customFormat="false" ht="30" hidden="false" customHeight="true" outlineLevel="0" collapsed="false">
      <c r="A93" s="16" t="n">
        <v>10</v>
      </c>
      <c r="B93" s="4" t="s">
        <v>263</v>
      </c>
      <c r="C93" s="4" t="s">
        <v>264</v>
      </c>
      <c r="D93" s="11" t="s">
        <v>265</v>
      </c>
      <c r="E93" s="4" t="s">
        <v>266</v>
      </c>
      <c r="F93" s="11" t="s">
        <v>273</v>
      </c>
      <c r="G93" s="4" t="s">
        <v>274</v>
      </c>
      <c r="H93" s="16" t="s">
        <v>56</v>
      </c>
      <c r="I93" s="11" t="s">
        <v>47</v>
      </c>
      <c r="J93" s="11" t="n">
        <v>5</v>
      </c>
      <c r="K93" s="11" t="n">
        <v>3</v>
      </c>
      <c r="L93" s="12" t="s">
        <v>48</v>
      </c>
      <c r="M93" s="13" t="n">
        <v>0</v>
      </c>
      <c r="N93" s="12"/>
      <c r="O93" s="12" t="n">
        <v>0</v>
      </c>
      <c r="P93" s="14"/>
    </row>
    <row r="94" customFormat="false" ht="30" hidden="false" customHeight="true" outlineLevel="0" collapsed="false">
      <c r="A94" s="16" t="n">
        <v>10</v>
      </c>
      <c r="B94" s="4" t="s">
        <v>263</v>
      </c>
      <c r="C94" s="4" t="s">
        <v>264</v>
      </c>
      <c r="D94" s="11" t="s">
        <v>265</v>
      </c>
      <c r="E94" s="4" t="s">
        <v>266</v>
      </c>
      <c r="F94" s="11" t="s">
        <v>275</v>
      </c>
      <c r="G94" s="4" t="s">
        <v>276</v>
      </c>
      <c r="H94" s="16" t="s">
        <v>56</v>
      </c>
      <c r="I94" s="11" t="s">
        <v>47</v>
      </c>
      <c r="J94" s="11" t="n">
        <v>5</v>
      </c>
      <c r="K94" s="11" t="n">
        <v>3</v>
      </c>
      <c r="L94" s="12" t="s">
        <v>48</v>
      </c>
      <c r="M94" s="13" t="n">
        <v>0</v>
      </c>
      <c r="N94" s="12"/>
      <c r="O94" s="12" t="n">
        <v>0</v>
      </c>
      <c r="P94" s="14"/>
    </row>
    <row r="95" customFormat="false" ht="30" hidden="false" customHeight="true" outlineLevel="0" collapsed="false">
      <c r="A95" s="16" t="n">
        <v>10</v>
      </c>
      <c r="B95" s="4" t="s">
        <v>263</v>
      </c>
      <c r="C95" s="4" t="s">
        <v>264</v>
      </c>
      <c r="D95" s="11" t="s">
        <v>265</v>
      </c>
      <c r="E95" s="4" t="s">
        <v>266</v>
      </c>
      <c r="F95" s="11" t="s">
        <v>277</v>
      </c>
      <c r="G95" s="4" t="s">
        <v>278</v>
      </c>
      <c r="H95" s="16" t="s">
        <v>56</v>
      </c>
      <c r="I95" s="11" t="s">
        <v>62</v>
      </c>
      <c r="J95" s="11" t="n">
        <v>4</v>
      </c>
      <c r="K95" s="11" t="n">
        <v>3</v>
      </c>
      <c r="L95" s="12" t="s">
        <v>48</v>
      </c>
      <c r="M95" s="13" t="n">
        <v>0</v>
      </c>
      <c r="N95" s="12"/>
      <c r="O95" s="12" t="n">
        <v>0</v>
      </c>
      <c r="P95" s="14"/>
    </row>
    <row r="96" customFormat="false" ht="30" hidden="false" customHeight="true" outlineLevel="0" collapsed="false">
      <c r="A96" s="16" t="n">
        <v>10</v>
      </c>
      <c r="B96" s="4" t="s">
        <v>263</v>
      </c>
      <c r="C96" s="4" t="s">
        <v>264</v>
      </c>
      <c r="D96" s="11" t="s">
        <v>265</v>
      </c>
      <c r="E96" s="4" t="s">
        <v>266</v>
      </c>
      <c r="F96" s="11" t="s">
        <v>279</v>
      </c>
      <c r="G96" s="4" t="s">
        <v>280</v>
      </c>
      <c r="H96" s="16" t="s">
        <v>53</v>
      </c>
      <c r="I96" s="11" t="s">
        <v>62</v>
      </c>
      <c r="J96" s="11" t="n">
        <v>5</v>
      </c>
      <c r="K96" s="11" t="n">
        <v>3</v>
      </c>
      <c r="L96" s="12" t="s">
        <v>48</v>
      </c>
      <c r="M96" s="13" t="n">
        <v>0</v>
      </c>
      <c r="N96" s="12"/>
      <c r="O96" s="12" t="n">
        <v>0</v>
      </c>
      <c r="P96" s="14"/>
    </row>
    <row r="97" customFormat="false" ht="30" hidden="false" customHeight="true" outlineLevel="0" collapsed="false">
      <c r="A97" s="16" t="n">
        <v>10</v>
      </c>
      <c r="B97" s="4" t="s">
        <v>263</v>
      </c>
      <c r="C97" s="4" t="s">
        <v>264</v>
      </c>
      <c r="D97" s="11" t="s">
        <v>265</v>
      </c>
      <c r="E97" s="4" t="s">
        <v>266</v>
      </c>
      <c r="F97" s="11" t="s">
        <v>281</v>
      </c>
      <c r="G97" s="4" t="s">
        <v>282</v>
      </c>
      <c r="H97" s="16" t="s">
        <v>105</v>
      </c>
      <c r="I97" s="11" t="s">
        <v>47</v>
      </c>
      <c r="J97" s="11" t="n">
        <v>5</v>
      </c>
      <c r="K97" s="11" t="n">
        <v>3</v>
      </c>
      <c r="L97" s="12" t="s">
        <v>48</v>
      </c>
      <c r="M97" s="13" t="n">
        <v>0</v>
      </c>
      <c r="N97" s="12"/>
      <c r="O97" s="12" t="n">
        <v>0</v>
      </c>
      <c r="P97" s="14"/>
    </row>
    <row r="98" customFormat="false" ht="30" hidden="false" customHeight="true" outlineLevel="0" collapsed="false">
      <c r="A98" s="12" t="n">
        <v>11</v>
      </c>
      <c r="B98" s="4" t="s">
        <v>283</v>
      </c>
      <c r="C98" s="4" t="s">
        <v>284</v>
      </c>
      <c r="D98" s="11" t="s">
        <v>285</v>
      </c>
      <c r="E98" s="4" t="s">
        <v>286</v>
      </c>
      <c r="F98" s="11" t="s">
        <v>287</v>
      </c>
      <c r="G98" s="4" t="s">
        <v>288</v>
      </c>
      <c r="H98" s="12" t="s">
        <v>56</v>
      </c>
      <c r="I98" s="11" t="s">
        <v>62</v>
      </c>
      <c r="J98" s="11" t="n">
        <v>4</v>
      </c>
      <c r="K98" s="11" t="n">
        <v>3</v>
      </c>
      <c r="L98" s="12" t="s">
        <v>48</v>
      </c>
      <c r="M98" s="13" t="n">
        <v>0</v>
      </c>
      <c r="N98" s="12"/>
      <c r="O98" s="12" t="n">
        <v>0</v>
      </c>
      <c r="P98" s="14"/>
    </row>
    <row r="99" customFormat="false" ht="30" hidden="false" customHeight="true" outlineLevel="0" collapsed="false">
      <c r="A99" s="12" t="n">
        <v>11</v>
      </c>
      <c r="B99" s="4" t="s">
        <v>283</v>
      </c>
      <c r="C99" s="4" t="s">
        <v>284</v>
      </c>
      <c r="D99" s="11" t="s">
        <v>285</v>
      </c>
      <c r="E99" s="4" t="s">
        <v>286</v>
      </c>
      <c r="F99" s="11" t="s">
        <v>289</v>
      </c>
      <c r="G99" s="4" t="s">
        <v>290</v>
      </c>
      <c r="H99" s="12" t="s">
        <v>56</v>
      </c>
      <c r="I99" s="11" t="s">
        <v>62</v>
      </c>
      <c r="J99" s="11" t="n">
        <v>4</v>
      </c>
      <c r="K99" s="11" t="n">
        <v>3</v>
      </c>
      <c r="L99" s="12" t="s">
        <v>48</v>
      </c>
      <c r="M99" s="13" t="n">
        <v>0</v>
      </c>
      <c r="N99" s="12"/>
      <c r="O99" s="12" t="n">
        <v>0</v>
      </c>
      <c r="P99" s="14"/>
    </row>
    <row r="100" customFormat="false" ht="30" hidden="false" customHeight="true" outlineLevel="0" collapsed="false">
      <c r="A100" s="12" t="n">
        <v>11</v>
      </c>
      <c r="B100" s="4" t="s">
        <v>283</v>
      </c>
      <c r="C100" s="4" t="s">
        <v>284</v>
      </c>
      <c r="D100" s="11" t="s">
        <v>285</v>
      </c>
      <c r="E100" s="4" t="s">
        <v>286</v>
      </c>
      <c r="F100" s="11" t="s">
        <v>291</v>
      </c>
      <c r="G100" s="4" t="s">
        <v>292</v>
      </c>
      <c r="H100" s="12" t="s">
        <v>56</v>
      </c>
      <c r="I100" s="11" t="s">
        <v>62</v>
      </c>
      <c r="J100" s="11" t="n">
        <v>3</v>
      </c>
      <c r="K100" s="11" t="n">
        <v>2</v>
      </c>
      <c r="L100" s="12" t="s">
        <v>48</v>
      </c>
      <c r="M100" s="13" t="n">
        <v>0</v>
      </c>
      <c r="N100" s="12"/>
      <c r="O100" s="12" t="n">
        <v>0</v>
      </c>
      <c r="P100" s="14"/>
    </row>
    <row r="101" customFormat="false" ht="30" hidden="false" customHeight="true" outlineLevel="0" collapsed="false">
      <c r="A101" s="12" t="n">
        <v>11</v>
      </c>
      <c r="B101" s="4" t="s">
        <v>283</v>
      </c>
      <c r="C101" s="4" t="s">
        <v>284</v>
      </c>
      <c r="D101" s="11" t="s">
        <v>285</v>
      </c>
      <c r="E101" s="4" t="s">
        <v>286</v>
      </c>
      <c r="F101" s="11" t="s">
        <v>293</v>
      </c>
      <c r="G101" s="4" t="s">
        <v>294</v>
      </c>
      <c r="H101" s="12" t="s">
        <v>56</v>
      </c>
      <c r="I101" s="11" t="s">
        <v>62</v>
      </c>
      <c r="J101" s="11" t="n">
        <v>3</v>
      </c>
      <c r="K101" s="11" t="n">
        <v>2</v>
      </c>
      <c r="L101" s="12" t="s">
        <v>48</v>
      </c>
      <c r="M101" s="13" t="n">
        <v>0</v>
      </c>
      <c r="N101" s="12"/>
      <c r="O101" s="12" t="n">
        <v>0</v>
      </c>
      <c r="P101" s="14"/>
    </row>
    <row r="102" customFormat="false" ht="30" hidden="false" customHeight="true" outlineLevel="0" collapsed="false">
      <c r="A102" s="12" t="n">
        <v>11</v>
      </c>
      <c r="B102" s="4" t="s">
        <v>283</v>
      </c>
      <c r="C102" s="4" t="s">
        <v>284</v>
      </c>
      <c r="D102" s="11" t="s">
        <v>285</v>
      </c>
      <c r="E102" s="4" t="s">
        <v>286</v>
      </c>
      <c r="F102" s="11" t="s">
        <v>295</v>
      </c>
      <c r="G102" s="4" t="s">
        <v>296</v>
      </c>
      <c r="H102" s="12" t="s">
        <v>53</v>
      </c>
      <c r="I102" s="11" t="s">
        <v>47</v>
      </c>
      <c r="J102" s="11" t="n">
        <v>6</v>
      </c>
      <c r="K102" s="11" t="n">
        <v>5</v>
      </c>
      <c r="L102" s="12" t="s">
        <v>48</v>
      </c>
      <c r="M102" s="13" t="n">
        <v>0</v>
      </c>
      <c r="N102" s="12"/>
      <c r="O102" s="12" t="n">
        <v>0</v>
      </c>
      <c r="P102" s="14"/>
    </row>
    <row r="103" customFormat="false" ht="30" hidden="false" customHeight="true" outlineLevel="0" collapsed="false">
      <c r="A103" s="12" t="n">
        <v>11</v>
      </c>
      <c r="B103" s="4" t="s">
        <v>283</v>
      </c>
      <c r="C103" s="4" t="s">
        <v>284</v>
      </c>
      <c r="D103" s="11" t="s">
        <v>285</v>
      </c>
      <c r="E103" s="4" t="s">
        <v>286</v>
      </c>
      <c r="F103" s="11" t="s">
        <v>297</v>
      </c>
      <c r="G103" s="4" t="s">
        <v>298</v>
      </c>
      <c r="H103" s="12" t="s">
        <v>299</v>
      </c>
      <c r="I103" s="11" t="s">
        <v>62</v>
      </c>
      <c r="J103" s="11" t="n">
        <v>5</v>
      </c>
      <c r="K103" s="11" t="n">
        <v>3</v>
      </c>
      <c r="L103" s="12" t="s">
        <v>48</v>
      </c>
      <c r="M103" s="13" t="n">
        <v>0</v>
      </c>
      <c r="N103" s="12"/>
      <c r="O103" s="12" t="n">
        <v>0</v>
      </c>
      <c r="P103" s="14"/>
    </row>
    <row r="104" customFormat="false" ht="30" hidden="false" customHeight="true" outlineLevel="0" collapsed="false">
      <c r="A104" s="12" t="n">
        <v>11</v>
      </c>
      <c r="B104" s="4" t="s">
        <v>283</v>
      </c>
      <c r="C104" s="4" t="s">
        <v>284</v>
      </c>
      <c r="D104" s="11" t="s">
        <v>285</v>
      </c>
      <c r="E104" s="4" t="s">
        <v>286</v>
      </c>
      <c r="F104" s="11" t="s">
        <v>300</v>
      </c>
      <c r="G104" s="4" t="s">
        <v>301</v>
      </c>
      <c r="H104" s="12" t="s">
        <v>105</v>
      </c>
      <c r="I104" s="11" t="s">
        <v>62</v>
      </c>
      <c r="J104" s="11" t="n">
        <v>3</v>
      </c>
      <c r="K104" s="11" t="n">
        <v>2</v>
      </c>
      <c r="L104" s="12" t="s">
        <v>48</v>
      </c>
      <c r="M104" s="13" t="n">
        <v>0</v>
      </c>
      <c r="N104" s="12"/>
      <c r="O104" s="12" t="n">
        <v>0</v>
      </c>
      <c r="P104" s="14"/>
    </row>
    <row r="105" customFormat="false" ht="30" hidden="false" customHeight="true" outlineLevel="0" collapsed="false">
      <c r="A105" s="10" t="n">
        <v>12</v>
      </c>
      <c r="B105" s="4" t="s">
        <v>302</v>
      </c>
      <c r="C105" s="4" t="s">
        <v>303</v>
      </c>
      <c r="D105" s="11" t="s">
        <v>304</v>
      </c>
      <c r="E105" s="4" t="s">
        <v>305</v>
      </c>
      <c r="F105" s="11" t="s">
        <v>306</v>
      </c>
      <c r="G105" s="4" t="s">
        <v>307</v>
      </c>
      <c r="H105" s="10" t="s">
        <v>248</v>
      </c>
      <c r="I105" s="11" t="s">
        <v>47</v>
      </c>
      <c r="J105" s="11" t="n">
        <v>3</v>
      </c>
      <c r="K105" s="11" t="n">
        <v>2</v>
      </c>
      <c r="L105" s="12" t="s">
        <v>48</v>
      </c>
      <c r="M105" s="13" t="n">
        <v>0</v>
      </c>
      <c r="N105" s="12"/>
      <c r="O105" s="12" t="n">
        <v>0</v>
      </c>
      <c r="P105" s="14"/>
    </row>
    <row r="106" customFormat="false" ht="30" hidden="false" customHeight="true" outlineLevel="0" collapsed="false">
      <c r="A106" s="10" t="n">
        <v>12</v>
      </c>
      <c r="B106" s="4" t="s">
        <v>302</v>
      </c>
      <c r="C106" s="4" t="s">
        <v>303</v>
      </c>
      <c r="D106" s="11" t="s">
        <v>304</v>
      </c>
      <c r="E106" s="4" t="s">
        <v>305</v>
      </c>
      <c r="F106" s="11" t="s">
        <v>308</v>
      </c>
      <c r="G106" s="4" t="s">
        <v>309</v>
      </c>
      <c r="H106" s="10" t="s">
        <v>248</v>
      </c>
      <c r="I106" s="11" t="s">
        <v>47</v>
      </c>
      <c r="J106" s="11" t="n">
        <v>3</v>
      </c>
      <c r="K106" s="11" t="n">
        <v>2</v>
      </c>
      <c r="L106" s="12" t="s">
        <v>48</v>
      </c>
      <c r="M106" s="13" t="n">
        <v>0</v>
      </c>
      <c r="N106" s="12"/>
      <c r="O106" s="12" t="n">
        <v>0</v>
      </c>
      <c r="P106" s="14"/>
    </row>
    <row r="107" customFormat="false" ht="30" hidden="false" customHeight="true" outlineLevel="0" collapsed="false">
      <c r="A107" s="10" t="n">
        <v>12</v>
      </c>
      <c r="B107" s="4" t="s">
        <v>302</v>
      </c>
      <c r="C107" s="4" t="s">
        <v>303</v>
      </c>
      <c r="D107" s="11" t="s">
        <v>304</v>
      </c>
      <c r="E107" s="4" t="s">
        <v>305</v>
      </c>
      <c r="F107" s="11" t="s">
        <v>310</v>
      </c>
      <c r="G107" s="4" t="s">
        <v>311</v>
      </c>
      <c r="H107" s="10" t="s">
        <v>248</v>
      </c>
      <c r="I107" s="11" t="s">
        <v>62</v>
      </c>
      <c r="J107" s="11" t="n">
        <v>2</v>
      </c>
      <c r="K107" s="11" t="n">
        <v>1</v>
      </c>
      <c r="L107" s="12" t="s">
        <v>48</v>
      </c>
      <c r="M107" s="13" t="n">
        <v>0</v>
      </c>
      <c r="N107" s="12"/>
      <c r="O107" s="12" t="n">
        <v>0</v>
      </c>
      <c r="P107" s="14"/>
    </row>
    <row r="108" customFormat="false" ht="30" hidden="false" customHeight="true" outlineLevel="0" collapsed="false">
      <c r="A108" s="10" t="n">
        <v>12</v>
      </c>
      <c r="B108" s="4" t="s">
        <v>302</v>
      </c>
      <c r="C108" s="4" t="s">
        <v>303</v>
      </c>
      <c r="D108" s="11" t="s">
        <v>304</v>
      </c>
      <c r="E108" s="4" t="s">
        <v>305</v>
      </c>
      <c r="F108" s="11" t="s">
        <v>312</v>
      </c>
      <c r="G108" s="4" t="s">
        <v>313</v>
      </c>
      <c r="H108" s="10" t="s">
        <v>248</v>
      </c>
      <c r="I108" s="11" t="s">
        <v>47</v>
      </c>
      <c r="J108" s="11" t="n">
        <v>3</v>
      </c>
      <c r="K108" s="11" t="n">
        <v>2</v>
      </c>
      <c r="L108" s="12" t="s">
        <v>48</v>
      </c>
      <c r="M108" s="13" t="n">
        <v>0</v>
      </c>
      <c r="N108" s="12"/>
      <c r="O108" s="12" t="n">
        <v>0</v>
      </c>
      <c r="P108" s="14"/>
    </row>
    <row r="109" customFormat="false" ht="30" hidden="false" customHeight="true" outlineLevel="0" collapsed="false">
      <c r="A109" s="10" t="n">
        <v>12</v>
      </c>
      <c r="B109" s="4" t="s">
        <v>302</v>
      </c>
      <c r="C109" s="4" t="s">
        <v>303</v>
      </c>
      <c r="D109" s="11" t="s">
        <v>304</v>
      </c>
      <c r="E109" s="4" t="s">
        <v>305</v>
      </c>
      <c r="F109" s="11" t="s">
        <v>314</v>
      </c>
      <c r="G109" s="4" t="s">
        <v>315</v>
      </c>
      <c r="H109" s="10" t="s">
        <v>248</v>
      </c>
      <c r="I109" s="11" t="s">
        <v>62</v>
      </c>
      <c r="J109" s="11" t="n">
        <v>3</v>
      </c>
      <c r="K109" s="11" t="n">
        <v>2</v>
      </c>
      <c r="L109" s="12" t="s">
        <v>48</v>
      </c>
      <c r="M109" s="13" t="n">
        <v>0</v>
      </c>
      <c r="N109" s="12"/>
      <c r="O109" s="12" t="n">
        <v>0</v>
      </c>
      <c r="P109" s="14"/>
    </row>
    <row r="110" customFormat="false" ht="30" hidden="false" customHeight="true" outlineLevel="0" collapsed="false">
      <c r="A110" s="10" t="n">
        <v>12</v>
      </c>
      <c r="B110" s="4" t="s">
        <v>302</v>
      </c>
      <c r="C110" s="4" t="s">
        <v>303</v>
      </c>
      <c r="D110" s="11" t="s">
        <v>304</v>
      </c>
      <c r="E110" s="4" t="s">
        <v>305</v>
      </c>
      <c r="F110" s="11" t="s">
        <v>316</v>
      </c>
      <c r="G110" s="4" t="s">
        <v>317</v>
      </c>
      <c r="H110" s="10" t="s">
        <v>46</v>
      </c>
      <c r="I110" s="11" t="s">
        <v>47</v>
      </c>
      <c r="J110" s="11" t="n">
        <v>5</v>
      </c>
      <c r="K110" s="11" t="n">
        <v>3</v>
      </c>
      <c r="L110" s="12" t="s">
        <v>48</v>
      </c>
      <c r="M110" s="13" t="n">
        <v>0</v>
      </c>
      <c r="N110" s="12"/>
      <c r="O110" s="12" t="n">
        <v>0</v>
      </c>
      <c r="P110" s="14"/>
    </row>
    <row r="111" customFormat="false" ht="30" hidden="false" customHeight="true" outlineLevel="0" collapsed="false">
      <c r="A111" s="10" t="n">
        <v>12</v>
      </c>
      <c r="B111" s="4" t="s">
        <v>302</v>
      </c>
      <c r="C111" s="4" t="s">
        <v>303</v>
      </c>
      <c r="D111" s="11" t="s">
        <v>304</v>
      </c>
      <c r="E111" s="4" t="s">
        <v>305</v>
      </c>
      <c r="F111" s="11" t="s">
        <v>318</v>
      </c>
      <c r="G111" s="4" t="s">
        <v>319</v>
      </c>
      <c r="H111" s="10" t="s">
        <v>46</v>
      </c>
      <c r="I111" s="11" t="s">
        <v>47</v>
      </c>
      <c r="J111" s="11" t="n">
        <v>5</v>
      </c>
      <c r="K111" s="11" t="n">
        <v>3</v>
      </c>
      <c r="L111" s="12" t="s">
        <v>48</v>
      </c>
      <c r="M111" s="13" t="n">
        <v>0</v>
      </c>
      <c r="N111" s="12"/>
      <c r="O111" s="12" t="n">
        <v>0</v>
      </c>
      <c r="P111" s="14"/>
    </row>
    <row r="112" customFormat="false" ht="30" hidden="false" customHeight="true" outlineLevel="0" collapsed="false">
      <c r="A112" s="10" t="n">
        <v>12</v>
      </c>
      <c r="B112" s="4" t="s">
        <v>302</v>
      </c>
      <c r="C112" s="4" t="s">
        <v>303</v>
      </c>
      <c r="D112" s="11" t="s">
        <v>304</v>
      </c>
      <c r="E112" s="4" t="s">
        <v>305</v>
      </c>
      <c r="F112" s="11" t="s">
        <v>320</v>
      </c>
      <c r="G112" s="4" t="s">
        <v>321</v>
      </c>
      <c r="H112" s="10" t="s">
        <v>46</v>
      </c>
      <c r="I112" s="11" t="s">
        <v>47</v>
      </c>
      <c r="J112" s="11" t="n">
        <v>2</v>
      </c>
      <c r="K112" s="11" t="n">
        <v>1</v>
      </c>
      <c r="L112" s="12" t="s">
        <v>48</v>
      </c>
      <c r="M112" s="13" t="n">
        <v>0</v>
      </c>
      <c r="N112" s="12"/>
      <c r="O112" s="12" t="n">
        <v>0</v>
      </c>
      <c r="P112" s="14"/>
    </row>
    <row r="113" customFormat="false" ht="30" hidden="false" customHeight="true" outlineLevel="0" collapsed="false">
      <c r="A113" s="10" t="n">
        <v>12</v>
      </c>
      <c r="B113" s="4" t="s">
        <v>302</v>
      </c>
      <c r="C113" s="4" t="s">
        <v>303</v>
      </c>
      <c r="D113" s="11" t="s">
        <v>304</v>
      </c>
      <c r="E113" s="4" t="s">
        <v>305</v>
      </c>
      <c r="F113" s="11" t="s">
        <v>322</v>
      </c>
      <c r="G113" s="4" t="s">
        <v>323</v>
      </c>
      <c r="H113" s="10" t="s">
        <v>105</v>
      </c>
      <c r="I113" s="11" t="s">
        <v>47</v>
      </c>
      <c r="J113" s="11" t="n">
        <v>4</v>
      </c>
      <c r="K113" s="11" t="n">
        <v>3</v>
      </c>
      <c r="L113" s="12" t="s">
        <v>48</v>
      </c>
      <c r="M113" s="13" t="n">
        <v>0</v>
      </c>
      <c r="N113" s="12"/>
      <c r="O113" s="12" t="n">
        <v>0</v>
      </c>
      <c r="P113" s="14"/>
    </row>
    <row r="114" customFormat="false" ht="30" hidden="false" customHeight="true" outlineLevel="0" collapsed="false">
      <c r="A114" s="15" t="n">
        <v>13</v>
      </c>
      <c r="B114" s="4" t="s">
        <v>324</v>
      </c>
      <c r="C114" s="4" t="s">
        <v>325</v>
      </c>
      <c r="D114" s="11" t="s">
        <v>326</v>
      </c>
      <c r="E114" s="4" t="s">
        <v>327</v>
      </c>
      <c r="F114" s="11" t="s">
        <v>328</v>
      </c>
      <c r="G114" s="4" t="s">
        <v>329</v>
      </c>
      <c r="H114" s="15" t="s">
        <v>56</v>
      </c>
      <c r="I114" s="11" t="s">
        <v>47</v>
      </c>
      <c r="J114" s="11" t="n">
        <v>4</v>
      </c>
      <c r="K114" s="11" t="n">
        <v>3</v>
      </c>
      <c r="L114" s="12" t="s">
        <v>48</v>
      </c>
      <c r="M114" s="13" t="n">
        <v>0</v>
      </c>
      <c r="N114" s="12"/>
      <c r="O114" s="12" t="n">
        <v>0</v>
      </c>
      <c r="P114" s="14"/>
    </row>
    <row r="115" customFormat="false" ht="30" hidden="false" customHeight="true" outlineLevel="0" collapsed="false">
      <c r="A115" s="15" t="n">
        <v>13</v>
      </c>
      <c r="B115" s="4" t="s">
        <v>324</v>
      </c>
      <c r="C115" s="4" t="s">
        <v>325</v>
      </c>
      <c r="D115" s="11" t="s">
        <v>326</v>
      </c>
      <c r="E115" s="4" t="s">
        <v>327</v>
      </c>
      <c r="F115" s="11" t="s">
        <v>330</v>
      </c>
      <c r="G115" s="4" t="s">
        <v>331</v>
      </c>
      <c r="H115" s="15" t="s">
        <v>56</v>
      </c>
      <c r="I115" s="11" t="s">
        <v>62</v>
      </c>
      <c r="J115" s="11" t="n">
        <v>5</v>
      </c>
      <c r="K115" s="11" t="n">
        <v>3</v>
      </c>
      <c r="L115" s="12" t="s">
        <v>48</v>
      </c>
      <c r="M115" s="13" t="n">
        <v>0</v>
      </c>
      <c r="N115" s="12"/>
      <c r="O115" s="12" t="n">
        <v>0</v>
      </c>
      <c r="P115" s="14"/>
    </row>
    <row r="116" customFormat="false" ht="30" hidden="false" customHeight="true" outlineLevel="0" collapsed="false">
      <c r="A116" s="15" t="n">
        <v>13</v>
      </c>
      <c r="B116" s="4" t="s">
        <v>324</v>
      </c>
      <c r="C116" s="4" t="s">
        <v>325</v>
      </c>
      <c r="D116" s="11" t="s">
        <v>326</v>
      </c>
      <c r="E116" s="4" t="s">
        <v>327</v>
      </c>
      <c r="F116" s="11" t="s">
        <v>332</v>
      </c>
      <c r="G116" s="4" t="s">
        <v>333</v>
      </c>
      <c r="H116" s="15" t="s">
        <v>46</v>
      </c>
      <c r="I116" s="11" t="s">
        <v>62</v>
      </c>
      <c r="J116" s="11" t="n">
        <v>3</v>
      </c>
      <c r="K116" s="11" t="n">
        <v>2</v>
      </c>
      <c r="L116" s="12" t="s">
        <v>48</v>
      </c>
      <c r="M116" s="13" t="n">
        <v>0</v>
      </c>
      <c r="N116" s="12"/>
      <c r="O116" s="12" t="n">
        <v>0</v>
      </c>
      <c r="P116" s="14"/>
    </row>
    <row r="117" customFormat="false" ht="30" hidden="false" customHeight="true" outlineLevel="0" collapsed="false">
      <c r="A117" s="15" t="n">
        <v>13</v>
      </c>
      <c r="B117" s="4" t="s">
        <v>324</v>
      </c>
      <c r="C117" s="4" t="s">
        <v>325</v>
      </c>
      <c r="D117" s="11" t="s">
        <v>326</v>
      </c>
      <c r="E117" s="4" t="s">
        <v>327</v>
      </c>
      <c r="F117" s="11" t="s">
        <v>334</v>
      </c>
      <c r="G117" s="4" t="s">
        <v>335</v>
      </c>
      <c r="H117" s="15" t="s">
        <v>56</v>
      </c>
      <c r="I117" s="11" t="s">
        <v>47</v>
      </c>
      <c r="J117" s="11" t="n">
        <v>3</v>
      </c>
      <c r="K117" s="11" t="n">
        <v>2</v>
      </c>
      <c r="L117" s="12" t="s">
        <v>48</v>
      </c>
      <c r="M117" s="13" t="n">
        <v>0</v>
      </c>
      <c r="N117" s="12"/>
      <c r="O117" s="12" t="n">
        <v>0</v>
      </c>
      <c r="P117" s="14"/>
    </row>
    <row r="118" customFormat="false" ht="30" hidden="false" customHeight="true" outlineLevel="0" collapsed="false">
      <c r="A118" s="15" t="n">
        <v>13</v>
      </c>
      <c r="B118" s="4" t="s">
        <v>324</v>
      </c>
      <c r="C118" s="4" t="s">
        <v>325</v>
      </c>
      <c r="D118" s="11" t="s">
        <v>326</v>
      </c>
      <c r="E118" s="4" t="s">
        <v>327</v>
      </c>
      <c r="F118" s="11" t="s">
        <v>336</v>
      </c>
      <c r="G118" s="4" t="s">
        <v>337</v>
      </c>
      <c r="H118" s="15" t="s">
        <v>338</v>
      </c>
      <c r="I118" s="11" t="s">
        <v>47</v>
      </c>
      <c r="J118" s="11" t="n">
        <v>6</v>
      </c>
      <c r="K118" s="11" t="n">
        <v>5</v>
      </c>
      <c r="L118" s="12" t="s">
        <v>48</v>
      </c>
      <c r="M118" s="13" t="n">
        <v>0</v>
      </c>
      <c r="N118" s="12"/>
      <c r="O118" s="12" t="n">
        <v>0</v>
      </c>
      <c r="P118" s="14"/>
    </row>
    <row r="119" customFormat="false" ht="30" hidden="false" customHeight="true" outlineLevel="0" collapsed="false">
      <c r="A119" s="15" t="n">
        <v>13</v>
      </c>
      <c r="B119" s="4" t="s">
        <v>324</v>
      </c>
      <c r="C119" s="4" t="s">
        <v>325</v>
      </c>
      <c r="D119" s="11" t="s">
        <v>326</v>
      </c>
      <c r="E119" s="4" t="s">
        <v>327</v>
      </c>
      <c r="F119" s="11" t="s">
        <v>339</v>
      </c>
      <c r="G119" s="4" t="s">
        <v>340</v>
      </c>
      <c r="H119" s="15" t="s">
        <v>56</v>
      </c>
      <c r="I119" s="11" t="s">
        <v>47</v>
      </c>
      <c r="J119" s="11" t="n">
        <v>2</v>
      </c>
      <c r="K119" s="11" t="n">
        <v>1</v>
      </c>
      <c r="L119" s="12" t="s">
        <v>48</v>
      </c>
      <c r="M119" s="13" t="n">
        <v>0</v>
      </c>
      <c r="N119" s="12"/>
      <c r="O119" s="12" t="n">
        <v>0</v>
      </c>
      <c r="P119" s="14"/>
    </row>
    <row r="120" customFormat="false" ht="30" hidden="false" customHeight="true" outlineLevel="0" collapsed="false">
      <c r="A120" s="15" t="n">
        <v>13</v>
      </c>
      <c r="B120" s="4" t="s">
        <v>324</v>
      </c>
      <c r="C120" s="4" t="s">
        <v>325</v>
      </c>
      <c r="D120" s="11" t="s">
        <v>326</v>
      </c>
      <c r="E120" s="4" t="s">
        <v>327</v>
      </c>
      <c r="F120" s="11" t="s">
        <v>341</v>
      </c>
      <c r="G120" s="4" t="s">
        <v>342</v>
      </c>
      <c r="H120" s="15" t="s">
        <v>105</v>
      </c>
      <c r="I120" s="11" t="s">
        <v>47</v>
      </c>
      <c r="J120" s="11" t="n">
        <v>8</v>
      </c>
      <c r="K120" s="11" t="n">
        <v>8</v>
      </c>
      <c r="L120" s="12" t="s">
        <v>48</v>
      </c>
      <c r="M120" s="13" t="n">
        <v>0</v>
      </c>
      <c r="N120" s="12"/>
      <c r="O120" s="12" t="n">
        <v>0</v>
      </c>
      <c r="P120" s="14"/>
    </row>
    <row r="121" customFormat="false" ht="30" hidden="false" customHeight="true" outlineLevel="0" collapsed="false">
      <c r="A121" s="15" t="n">
        <v>13</v>
      </c>
      <c r="B121" s="4" t="s">
        <v>324</v>
      </c>
      <c r="C121" s="4" t="s">
        <v>325</v>
      </c>
      <c r="D121" s="11" t="s">
        <v>326</v>
      </c>
      <c r="E121" s="4" t="s">
        <v>327</v>
      </c>
      <c r="F121" s="11" t="s">
        <v>343</v>
      </c>
      <c r="G121" s="4" t="s">
        <v>344</v>
      </c>
      <c r="H121" s="15" t="s">
        <v>345</v>
      </c>
      <c r="I121" s="11" t="s">
        <v>47</v>
      </c>
      <c r="J121" s="11" t="n">
        <v>4</v>
      </c>
      <c r="K121" s="11" t="n">
        <v>3</v>
      </c>
      <c r="L121" s="12" t="s">
        <v>48</v>
      </c>
      <c r="M121" s="13" t="n">
        <v>0</v>
      </c>
      <c r="N121" s="12"/>
      <c r="O121" s="12" t="n">
        <v>0</v>
      </c>
      <c r="P121" s="14"/>
    </row>
    <row r="122" customFormat="false" ht="19.5" hidden="false" customHeight="true" outlineLevel="0" collapsed="false">
      <c r="A122" s="17"/>
      <c r="B122" s="17"/>
      <c r="C122" s="17"/>
      <c r="D122" s="17"/>
      <c r="E122" s="17"/>
      <c r="F122" s="18" t="s">
        <v>346</v>
      </c>
      <c r="G122" s="19" t="s">
        <v>347</v>
      </c>
      <c r="H122" s="17"/>
      <c r="I122" s="17"/>
      <c r="J122" s="18" t="n">
        <f aca="false">SUM(J4:J121)</f>
        <v>443</v>
      </c>
      <c r="K122" s="18" t="n">
        <f aca="false">SUM(K4:K121)</f>
        <v>311</v>
      </c>
      <c r="L122" s="17"/>
      <c r="M122" s="17"/>
      <c r="N122" s="17"/>
      <c r="O122" s="18" t="n">
        <f aca="false">SUM(O4:O121)</f>
        <v>0</v>
      </c>
      <c r="P122" s="17"/>
    </row>
  </sheetData>
  <autoFilter ref="A3:P121"/>
  <mergeCells count="2">
    <mergeCell ref="A1:P1"/>
    <mergeCell ref="A2:P2"/>
  </mergeCells>
  <conditionalFormatting sqref="L4:L121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"Blocked"</formula>
    </cfRule>
    <cfRule type="cellIs" priority="4" operator="equal" aboveAverage="0" equalAverage="0" bottom="0" percent="0" rank="0" text="" dxfId="9">
      <formula>"In Progress"</formula>
    </cfRule>
  </conditionalFormatting>
  <dataValidations count="3">
    <dataValidation allowBlank="true" errorStyle="stop" operator="between" showDropDown="false" showErrorMessage="false" showInputMessage="false" sqref="L4:L121" type="list">
      <formula1>"Not Started,In Progress,Blocked,In Review,Done"</formula1>
      <formula2>0</formula2>
    </dataValidation>
    <dataValidation allowBlank="true" errorStyle="stop" operator="between" showDropDown="false" showErrorMessage="false" showInputMessage="false" sqref="I4:I121" type="list">
      <formula1>"High,Medium,Low"</formula1>
      <formula2>0</formula2>
    </dataValidation>
    <dataValidation allowBlank="true" errorStyle="stop" operator="between" showDropDown="false" showErrorMessage="false" showInputMessage="false" sqref="M4:M12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60"/>
  </cols>
  <sheetData>
    <row r="1" customFormat="false" ht="30" hidden="false" customHeight="true" outlineLevel="0" collapsed="false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349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9" t="s">
        <v>25</v>
      </c>
      <c r="B3" s="9" t="s">
        <v>26</v>
      </c>
      <c r="C3" s="9" t="s">
        <v>350</v>
      </c>
      <c r="D3" s="9" t="s">
        <v>351</v>
      </c>
      <c r="E3" s="9" t="s">
        <v>34</v>
      </c>
      <c r="F3" s="9" t="s">
        <v>352</v>
      </c>
      <c r="G3" s="9" t="s">
        <v>353</v>
      </c>
      <c r="H3" s="9" t="s">
        <v>22</v>
      </c>
      <c r="I3" s="9" t="s">
        <v>354</v>
      </c>
      <c r="J3" s="9" t="s">
        <v>355</v>
      </c>
    </row>
    <row r="4" customFormat="false" ht="42" hidden="false" customHeight="true" outlineLevel="0" collapsed="false">
      <c r="A4" s="20" t="n">
        <v>0</v>
      </c>
      <c r="B4" s="21" t="s">
        <v>40</v>
      </c>
      <c r="C4" s="21" t="s">
        <v>41</v>
      </c>
      <c r="D4" s="20" t="n">
        <f aca="false">COUNTIF('Sprint Backlog'!$A$4:$A$121,A4)</f>
        <v>11</v>
      </c>
      <c r="E4" s="20" t="n">
        <f aca="false">SUMIF('Sprint Backlog'!$A$4:$A$121,A4,'Sprint Backlog'!$J$4:$J$121)</f>
        <v>23</v>
      </c>
      <c r="F4" s="20" t="n">
        <f aca="false">SUMIF('Sprint Backlog'!$A$4:$A$121,A4,'Sprint Backlog'!$K$4:$K$121)</f>
        <v>15</v>
      </c>
      <c r="G4" s="20" t="n">
        <f aca="false">COUNTIFS('Sprint Backlog'!$A$4:$A$121,A4,'Sprint Backlog'!$L$4:$L$121,"Done")</f>
        <v>0</v>
      </c>
      <c r="H4" s="22" t="n">
        <f aca="false">IFERROR(G4/D4,0)</f>
        <v>0</v>
      </c>
      <c r="I4" s="20" t="s">
        <v>356</v>
      </c>
      <c r="J4" s="21" t="s">
        <v>357</v>
      </c>
    </row>
    <row r="5" customFormat="false" ht="42" hidden="false" customHeight="true" outlineLevel="0" collapsed="false">
      <c r="A5" s="11" t="n">
        <v>1</v>
      </c>
      <c r="B5" s="4" t="s">
        <v>75</v>
      </c>
      <c r="C5" s="4" t="s">
        <v>76</v>
      </c>
      <c r="D5" s="11" t="n">
        <f aca="false">COUNTIF('Sprint Backlog'!$A$4:$A$121,A5)</f>
        <v>13</v>
      </c>
      <c r="E5" s="11" t="n">
        <f aca="false">SUMIF('Sprint Backlog'!$A$4:$A$121,A5,'Sprint Backlog'!$J$4:$J$121)</f>
        <v>45</v>
      </c>
      <c r="F5" s="11" t="n">
        <f aca="false">SUMIF('Sprint Backlog'!$A$4:$A$121,A5,'Sprint Backlog'!$K$4:$K$121)</f>
        <v>31</v>
      </c>
      <c r="G5" s="11" t="n">
        <f aca="false">COUNTIFS('Sprint Backlog'!$A$4:$A$121,A5,'Sprint Backlog'!$L$4:$L$121,"Done")</f>
        <v>0</v>
      </c>
      <c r="H5" s="23" t="n">
        <f aca="false">IFERROR(G5/D5,0)</f>
        <v>0</v>
      </c>
      <c r="I5" s="11" t="s">
        <v>358</v>
      </c>
      <c r="J5" s="4" t="s">
        <v>359</v>
      </c>
    </row>
    <row r="6" customFormat="false" ht="42" hidden="false" customHeight="true" outlineLevel="0" collapsed="false">
      <c r="A6" s="20" t="n">
        <v>2</v>
      </c>
      <c r="B6" s="21" t="s">
        <v>106</v>
      </c>
      <c r="C6" s="21" t="s">
        <v>107</v>
      </c>
      <c r="D6" s="20" t="n">
        <f aca="false">COUNTIF('Sprint Backlog'!$A$4:$A$121,A6)</f>
        <v>8</v>
      </c>
      <c r="E6" s="20" t="n">
        <f aca="false">SUMIF('Sprint Backlog'!$A$4:$A$121,A6,'Sprint Backlog'!$J$4:$J$121)</f>
        <v>28</v>
      </c>
      <c r="F6" s="20" t="n">
        <f aca="false">SUMIF('Sprint Backlog'!$A$4:$A$121,A6,'Sprint Backlog'!$K$4:$K$121)</f>
        <v>18</v>
      </c>
      <c r="G6" s="20" t="n">
        <f aca="false">COUNTIFS('Sprint Backlog'!$A$4:$A$121,A6,'Sprint Backlog'!$L$4:$L$121,"Done")</f>
        <v>0</v>
      </c>
      <c r="H6" s="22" t="n">
        <f aca="false">IFERROR(G6/D6,0)</f>
        <v>0</v>
      </c>
      <c r="I6" s="20" t="s">
        <v>358</v>
      </c>
      <c r="J6" s="21" t="s">
        <v>360</v>
      </c>
    </row>
    <row r="7" customFormat="false" ht="42" hidden="false" customHeight="true" outlineLevel="0" collapsed="false">
      <c r="A7" s="11" t="n">
        <v>3</v>
      </c>
      <c r="B7" s="4" t="s">
        <v>126</v>
      </c>
      <c r="C7" s="4" t="s">
        <v>127</v>
      </c>
      <c r="D7" s="11" t="n">
        <f aca="false">COUNTIF('Sprint Backlog'!$A$4:$A$121,A7)</f>
        <v>10</v>
      </c>
      <c r="E7" s="11" t="n">
        <f aca="false">SUMIF('Sprint Backlog'!$A$4:$A$121,A7,'Sprint Backlog'!$J$4:$J$121)</f>
        <v>38</v>
      </c>
      <c r="F7" s="11" t="n">
        <f aca="false">SUMIF('Sprint Backlog'!$A$4:$A$121,A7,'Sprint Backlog'!$K$4:$K$121)</f>
        <v>26</v>
      </c>
      <c r="G7" s="11" t="n">
        <f aca="false">COUNTIFS('Sprint Backlog'!$A$4:$A$121,A7,'Sprint Backlog'!$L$4:$L$121,"Done")</f>
        <v>0</v>
      </c>
      <c r="H7" s="23" t="n">
        <f aca="false">IFERROR(G7/D7,0)</f>
        <v>0</v>
      </c>
      <c r="I7" s="11" t="s">
        <v>358</v>
      </c>
      <c r="J7" s="4" t="s">
        <v>361</v>
      </c>
    </row>
    <row r="8" customFormat="false" ht="42" hidden="false" customHeight="true" outlineLevel="0" collapsed="false">
      <c r="A8" s="20" t="n">
        <v>4</v>
      </c>
      <c r="B8" s="21" t="s">
        <v>150</v>
      </c>
      <c r="C8" s="21" t="s">
        <v>151</v>
      </c>
      <c r="D8" s="20" t="n">
        <f aca="false">COUNTIF('Sprint Backlog'!$A$4:$A$121,A8)</f>
        <v>7</v>
      </c>
      <c r="E8" s="20" t="n">
        <f aca="false">SUMIF('Sprint Backlog'!$A$4:$A$121,A8,'Sprint Backlog'!$J$4:$J$121)</f>
        <v>31</v>
      </c>
      <c r="F8" s="20" t="n">
        <f aca="false">SUMIF('Sprint Backlog'!$A$4:$A$121,A8,'Sprint Backlog'!$K$4:$K$121)</f>
        <v>24</v>
      </c>
      <c r="G8" s="20" t="n">
        <f aca="false">COUNTIFS('Sprint Backlog'!$A$4:$A$121,A8,'Sprint Backlog'!$L$4:$L$121,"Done")</f>
        <v>0</v>
      </c>
      <c r="H8" s="22" t="n">
        <f aca="false">IFERROR(G8/D8,0)</f>
        <v>0</v>
      </c>
      <c r="I8" s="20" t="s">
        <v>358</v>
      </c>
      <c r="J8" s="21" t="s">
        <v>362</v>
      </c>
    </row>
    <row r="9" customFormat="false" ht="42" hidden="false" customHeight="true" outlineLevel="0" collapsed="false">
      <c r="A9" s="11" t="n">
        <v>5</v>
      </c>
      <c r="B9" s="4" t="s">
        <v>168</v>
      </c>
      <c r="C9" s="4" t="s">
        <v>169</v>
      </c>
      <c r="D9" s="11" t="n">
        <f aca="false">COUNTIF('Sprint Backlog'!$A$4:$A$121,A9)</f>
        <v>7</v>
      </c>
      <c r="E9" s="11" t="n">
        <f aca="false">SUMIF('Sprint Backlog'!$A$4:$A$121,A9,'Sprint Backlog'!$J$4:$J$121)</f>
        <v>25</v>
      </c>
      <c r="F9" s="11" t="n">
        <f aca="false">SUMIF('Sprint Backlog'!$A$4:$A$121,A9,'Sprint Backlog'!$K$4:$K$121)</f>
        <v>17</v>
      </c>
      <c r="G9" s="11" t="n">
        <f aca="false">COUNTIFS('Sprint Backlog'!$A$4:$A$121,A9,'Sprint Backlog'!$L$4:$L$121,"Done")</f>
        <v>0</v>
      </c>
      <c r="H9" s="23" t="n">
        <f aca="false">IFERROR(G9/D9,0)</f>
        <v>0</v>
      </c>
      <c r="I9" s="11" t="s">
        <v>358</v>
      </c>
      <c r="J9" s="4" t="s">
        <v>363</v>
      </c>
    </row>
    <row r="10" customFormat="false" ht="42" hidden="false" customHeight="true" outlineLevel="0" collapsed="false">
      <c r="A10" s="20" t="n">
        <v>6</v>
      </c>
      <c r="B10" s="21" t="s">
        <v>186</v>
      </c>
      <c r="C10" s="21" t="s">
        <v>187</v>
      </c>
      <c r="D10" s="20" t="n">
        <f aca="false">COUNTIF('Sprint Backlog'!$A$4:$A$121,A10)</f>
        <v>7</v>
      </c>
      <c r="E10" s="20" t="n">
        <f aca="false">SUMIF('Sprint Backlog'!$A$4:$A$121,A10,'Sprint Backlog'!$J$4:$J$121)</f>
        <v>28</v>
      </c>
      <c r="F10" s="20" t="n">
        <f aca="false">SUMIF('Sprint Backlog'!$A$4:$A$121,A10,'Sprint Backlog'!$K$4:$K$121)</f>
        <v>19</v>
      </c>
      <c r="G10" s="20" t="n">
        <f aca="false">COUNTIFS('Sprint Backlog'!$A$4:$A$121,A10,'Sprint Backlog'!$L$4:$L$121,"Done")</f>
        <v>0</v>
      </c>
      <c r="H10" s="22" t="n">
        <f aca="false">IFERROR(G10/D10,0)</f>
        <v>0</v>
      </c>
      <c r="I10" s="20" t="s">
        <v>358</v>
      </c>
      <c r="J10" s="21" t="s">
        <v>364</v>
      </c>
    </row>
    <row r="11" customFormat="false" ht="42" hidden="false" customHeight="true" outlineLevel="0" collapsed="false">
      <c r="A11" s="11" t="n">
        <v>7</v>
      </c>
      <c r="B11" s="4" t="s">
        <v>204</v>
      </c>
      <c r="C11" s="4" t="s">
        <v>205</v>
      </c>
      <c r="D11" s="11" t="n">
        <f aca="false">COUNTIF('Sprint Backlog'!$A$4:$A$121,A11)</f>
        <v>7</v>
      </c>
      <c r="E11" s="11" t="n">
        <f aca="false">SUMIF('Sprint Backlog'!$A$4:$A$121,A11,'Sprint Backlog'!$J$4:$J$121)</f>
        <v>29</v>
      </c>
      <c r="F11" s="11" t="n">
        <f aca="false">SUMIF('Sprint Backlog'!$A$4:$A$121,A11,'Sprint Backlog'!$K$4:$K$121)</f>
        <v>21</v>
      </c>
      <c r="G11" s="11" t="n">
        <f aca="false">COUNTIFS('Sprint Backlog'!$A$4:$A$121,A11,'Sprint Backlog'!$L$4:$L$121,"Done")</f>
        <v>0</v>
      </c>
      <c r="H11" s="23" t="n">
        <f aca="false">IFERROR(G11/D11,0)</f>
        <v>0</v>
      </c>
      <c r="I11" s="11" t="s">
        <v>358</v>
      </c>
      <c r="J11" s="4" t="s">
        <v>365</v>
      </c>
    </row>
    <row r="12" customFormat="false" ht="42" hidden="false" customHeight="true" outlineLevel="0" collapsed="false">
      <c r="A12" s="20" t="n">
        <v>8</v>
      </c>
      <c r="B12" s="21" t="s">
        <v>222</v>
      </c>
      <c r="C12" s="21" t="s">
        <v>223</v>
      </c>
      <c r="D12" s="20" t="n">
        <f aca="false">COUNTIF('Sprint Backlog'!$A$4:$A$121,A12)</f>
        <v>8</v>
      </c>
      <c r="E12" s="20" t="n">
        <f aca="false">SUMIF('Sprint Backlog'!$A$4:$A$121,A12,'Sprint Backlog'!$J$4:$J$121)</f>
        <v>34</v>
      </c>
      <c r="F12" s="20" t="n">
        <f aca="false">SUMIF('Sprint Backlog'!$A$4:$A$121,A12,'Sprint Backlog'!$K$4:$K$121)</f>
        <v>26</v>
      </c>
      <c r="G12" s="20" t="n">
        <f aca="false">COUNTIFS('Sprint Backlog'!$A$4:$A$121,A12,'Sprint Backlog'!$L$4:$L$121,"Done")</f>
        <v>0</v>
      </c>
      <c r="H12" s="22" t="n">
        <f aca="false">IFERROR(G12/D12,0)</f>
        <v>0</v>
      </c>
      <c r="I12" s="20" t="s">
        <v>358</v>
      </c>
      <c r="J12" s="21" t="s">
        <v>366</v>
      </c>
    </row>
    <row r="13" customFormat="false" ht="42" hidden="false" customHeight="true" outlineLevel="0" collapsed="false">
      <c r="A13" s="11" t="n">
        <v>9</v>
      </c>
      <c r="B13" s="4" t="s">
        <v>242</v>
      </c>
      <c r="C13" s="4" t="s">
        <v>243</v>
      </c>
      <c r="D13" s="11" t="n">
        <f aca="false">COUNTIF('Sprint Backlog'!$A$4:$A$121,A13)</f>
        <v>8</v>
      </c>
      <c r="E13" s="11" t="n">
        <f aca="false">SUMIF('Sprint Backlog'!$A$4:$A$121,A13,'Sprint Backlog'!$J$4:$J$121)</f>
        <v>31</v>
      </c>
      <c r="F13" s="11" t="n">
        <f aca="false">SUMIF('Sprint Backlog'!$A$4:$A$121,A13,'Sprint Backlog'!$K$4:$K$121)</f>
        <v>22</v>
      </c>
      <c r="G13" s="11" t="n">
        <f aca="false">COUNTIFS('Sprint Backlog'!$A$4:$A$121,A13,'Sprint Backlog'!$L$4:$L$121,"Done")</f>
        <v>0</v>
      </c>
      <c r="H13" s="23" t="n">
        <f aca="false">IFERROR(G13/D13,0)</f>
        <v>0</v>
      </c>
      <c r="I13" s="11" t="s">
        <v>358</v>
      </c>
      <c r="J13" s="4" t="s">
        <v>367</v>
      </c>
    </row>
    <row r="14" customFormat="false" ht="42" hidden="false" customHeight="true" outlineLevel="0" collapsed="false">
      <c r="A14" s="20" t="n">
        <v>10</v>
      </c>
      <c r="B14" s="21" t="s">
        <v>263</v>
      </c>
      <c r="C14" s="21" t="s">
        <v>264</v>
      </c>
      <c r="D14" s="20" t="n">
        <f aca="false">COUNTIF('Sprint Backlog'!$A$4:$A$121,A14)</f>
        <v>8</v>
      </c>
      <c r="E14" s="20" t="n">
        <f aca="false">SUMIF('Sprint Backlog'!$A$4:$A$121,A14,'Sprint Backlog'!$J$4:$J$121)</f>
        <v>38</v>
      </c>
      <c r="F14" s="20" t="n">
        <f aca="false">SUMIF('Sprint Backlog'!$A$4:$A$121,A14,'Sprint Backlog'!$K$4:$K$121)</f>
        <v>26</v>
      </c>
      <c r="G14" s="20" t="n">
        <f aca="false">COUNTIFS('Sprint Backlog'!$A$4:$A$121,A14,'Sprint Backlog'!$L$4:$L$121,"Done")</f>
        <v>0</v>
      </c>
      <c r="H14" s="22" t="n">
        <f aca="false">IFERROR(G14/D14,0)</f>
        <v>0</v>
      </c>
      <c r="I14" s="20" t="s">
        <v>368</v>
      </c>
      <c r="J14" s="21" t="s">
        <v>369</v>
      </c>
    </row>
    <row r="15" customFormat="false" ht="42" hidden="false" customHeight="true" outlineLevel="0" collapsed="false">
      <c r="A15" s="11" t="n">
        <v>11</v>
      </c>
      <c r="B15" s="4" t="s">
        <v>283</v>
      </c>
      <c r="C15" s="4" t="s">
        <v>284</v>
      </c>
      <c r="D15" s="11" t="n">
        <f aca="false">COUNTIF('Sprint Backlog'!$A$4:$A$121,A15)</f>
        <v>7</v>
      </c>
      <c r="E15" s="11" t="n">
        <f aca="false">SUMIF('Sprint Backlog'!$A$4:$A$121,A15,'Sprint Backlog'!$J$4:$J$121)</f>
        <v>28</v>
      </c>
      <c r="F15" s="11" t="n">
        <f aca="false">SUMIF('Sprint Backlog'!$A$4:$A$121,A15,'Sprint Backlog'!$K$4:$K$121)</f>
        <v>20</v>
      </c>
      <c r="G15" s="11" t="n">
        <f aca="false">COUNTIFS('Sprint Backlog'!$A$4:$A$121,A15,'Sprint Backlog'!$L$4:$L$121,"Done")</f>
        <v>0</v>
      </c>
      <c r="H15" s="23" t="n">
        <f aca="false">IFERROR(G15/D15,0)</f>
        <v>0</v>
      </c>
      <c r="I15" s="11" t="s">
        <v>358</v>
      </c>
      <c r="J15" s="4" t="s">
        <v>370</v>
      </c>
    </row>
    <row r="16" customFormat="false" ht="42" hidden="false" customHeight="true" outlineLevel="0" collapsed="false">
      <c r="A16" s="20" t="n">
        <v>12</v>
      </c>
      <c r="B16" s="21" t="s">
        <v>302</v>
      </c>
      <c r="C16" s="21" t="s">
        <v>303</v>
      </c>
      <c r="D16" s="20" t="n">
        <f aca="false">COUNTIF('Sprint Backlog'!$A$4:$A$121,A16)</f>
        <v>9</v>
      </c>
      <c r="E16" s="20" t="n">
        <f aca="false">SUMIF('Sprint Backlog'!$A$4:$A$121,A16,'Sprint Backlog'!$J$4:$J$121)</f>
        <v>30</v>
      </c>
      <c r="F16" s="20" t="n">
        <f aca="false">SUMIF('Sprint Backlog'!$A$4:$A$121,A16,'Sprint Backlog'!$K$4:$K$121)</f>
        <v>19</v>
      </c>
      <c r="G16" s="20" t="n">
        <f aca="false">COUNTIFS('Sprint Backlog'!$A$4:$A$121,A16,'Sprint Backlog'!$L$4:$L$121,"Done")</f>
        <v>0</v>
      </c>
      <c r="H16" s="22" t="n">
        <f aca="false">IFERROR(G16/D16,0)</f>
        <v>0</v>
      </c>
      <c r="I16" s="20" t="s">
        <v>358</v>
      </c>
      <c r="J16" s="21" t="s">
        <v>371</v>
      </c>
    </row>
    <row r="17" customFormat="false" ht="42" hidden="false" customHeight="true" outlineLevel="0" collapsed="false">
      <c r="A17" s="11" t="n">
        <v>13</v>
      </c>
      <c r="B17" s="4" t="s">
        <v>324</v>
      </c>
      <c r="C17" s="4" t="s">
        <v>325</v>
      </c>
      <c r="D17" s="11" t="n">
        <f aca="false">COUNTIF('Sprint Backlog'!$A$4:$A$121,A17)</f>
        <v>8</v>
      </c>
      <c r="E17" s="11" t="n">
        <f aca="false">SUMIF('Sprint Backlog'!$A$4:$A$121,A17,'Sprint Backlog'!$J$4:$J$121)</f>
        <v>35</v>
      </c>
      <c r="F17" s="11" t="n">
        <f aca="false">SUMIF('Sprint Backlog'!$A$4:$A$121,A17,'Sprint Backlog'!$K$4:$K$121)</f>
        <v>27</v>
      </c>
      <c r="G17" s="11" t="n">
        <f aca="false">COUNTIFS('Sprint Backlog'!$A$4:$A$121,A17,'Sprint Backlog'!$L$4:$L$121,"Done")</f>
        <v>0</v>
      </c>
      <c r="H17" s="23" t="n">
        <f aca="false">IFERROR(G17/D17,0)</f>
        <v>0</v>
      </c>
      <c r="I17" s="11" t="s">
        <v>358</v>
      </c>
      <c r="J17" s="4" t="s">
        <v>372</v>
      </c>
    </row>
    <row r="18" customFormat="false" ht="15" hidden="false" customHeight="false" outlineLevel="0" collapsed="false">
      <c r="A18" s="17"/>
      <c r="B18" s="18" t="s">
        <v>373</v>
      </c>
      <c r="C18" s="17"/>
      <c r="D18" s="18" t="n">
        <f aca="false">SUM(D4:D17)</f>
        <v>118</v>
      </c>
      <c r="E18" s="18" t="n">
        <f aca="false">SUM(E4:E17)</f>
        <v>443</v>
      </c>
      <c r="F18" s="18" t="n">
        <f aca="false">SUM(F4:F17)</f>
        <v>311</v>
      </c>
      <c r="G18" s="18" t="n">
        <f aca="false">SUM(G4:G17)</f>
        <v>0</v>
      </c>
      <c r="H18" s="24" t="n">
        <f aca="false">IFERROR(G18/D18,0)</f>
        <v>0</v>
      </c>
      <c r="I18" s="17"/>
      <c r="J18" s="17"/>
    </row>
  </sheetData>
  <autoFilter ref="A3:J17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374</v>
      </c>
      <c r="B1" s="1"/>
      <c r="C1" s="1"/>
      <c r="D1" s="1"/>
    </row>
    <row r="3" customFormat="false" ht="30" hidden="false" customHeight="true" outlineLevel="0" collapsed="false">
      <c r="A3" s="9" t="s">
        <v>375</v>
      </c>
      <c r="B3" s="9" t="s">
        <v>376</v>
      </c>
      <c r="C3" s="9" t="s">
        <v>377</v>
      </c>
      <c r="D3" s="9" t="s">
        <v>378</v>
      </c>
    </row>
    <row r="4" customFormat="false" ht="33.75" hidden="false" customHeight="true" outlineLevel="0" collapsed="false">
      <c r="A4" s="11" t="n">
        <v>1</v>
      </c>
      <c r="B4" s="11" t="s">
        <v>379</v>
      </c>
      <c r="C4" s="4" t="s">
        <v>380</v>
      </c>
      <c r="D4" s="4" t="s">
        <v>381</v>
      </c>
    </row>
    <row r="5" customFormat="false" ht="33.75" hidden="false" customHeight="true" outlineLevel="0" collapsed="false">
      <c r="A5" s="20" t="n">
        <v>1</v>
      </c>
      <c r="B5" s="20" t="s">
        <v>382</v>
      </c>
      <c r="C5" s="21" t="s">
        <v>383</v>
      </c>
      <c r="D5" s="21" t="s">
        <v>384</v>
      </c>
    </row>
    <row r="6" customFormat="false" ht="33.75" hidden="false" customHeight="true" outlineLevel="0" collapsed="false">
      <c r="A6" s="11" t="n">
        <v>1</v>
      </c>
      <c r="B6" s="11" t="s">
        <v>385</v>
      </c>
      <c r="C6" s="4" t="s">
        <v>386</v>
      </c>
      <c r="D6" s="4" t="s">
        <v>387</v>
      </c>
    </row>
    <row r="7" customFormat="false" ht="33.75" hidden="false" customHeight="true" outlineLevel="0" collapsed="false">
      <c r="A7" s="20" t="n">
        <v>1</v>
      </c>
      <c r="B7" s="20" t="s">
        <v>388</v>
      </c>
      <c r="C7" s="21" t="s">
        <v>389</v>
      </c>
      <c r="D7" s="21" t="s">
        <v>390</v>
      </c>
    </row>
    <row r="8" customFormat="false" ht="33.75" hidden="false" customHeight="true" outlineLevel="0" collapsed="false">
      <c r="A8" s="11" t="n">
        <v>2</v>
      </c>
      <c r="B8" s="11" t="s">
        <v>391</v>
      </c>
      <c r="C8" s="4" t="s">
        <v>392</v>
      </c>
      <c r="D8" s="4" t="s">
        <v>393</v>
      </c>
    </row>
    <row r="9" customFormat="false" ht="33.75" hidden="false" customHeight="true" outlineLevel="0" collapsed="false">
      <c r="A9" s="20" t="n">
        <v>2</v>
      </c>
      <c r="B9" s="20" t="s">
        <v>394</v>
      </c>
      <c r="C9" s="21" t="s">
        <v>395</v>
      </c>
      <c r="D9" s="21" t="s">
        <v>396</v>
      </c>
    </row>
    <row r="10" customFormat="false" ht="33.75" hidden="false" customHeight="true" outlineLevel="0" collapsed="false">
      <c r="A10" s="11" t="n">
        <v>3</v>
      </c>
      <c r="B10" s="11" t="s">
        <v>397</v>
      </c>
      <c r="C10" s="4" t="s">
        <v>398</v>
      </c>
      <c r="D10" s="4" t="s">
        <v>399</v>
      </c>
    </row>
    <row r="11" customFormat="false" ht="33.75" hidden="false" customHeight="true" outlineLevel="0" collapsed="false">
      <c r="A11" s="20" t="n">
        <v>3</v>
      </c>
      <c r="B11" s="20" t="s">
        <v>400</v>
      </c>
      <c r="C11" s="21" t="s">
        <v>401</v>
      </c>
      <c r="D11" s="21" t="s">
        <v>402</v>
      </c>
    </row>
    <row r="12" customFormat="false" ht="33.75" hidden="false" customHeight="true" outlineLevel="0" collapsed="false">
      <c r="A12" s="11" t="n">
        <v>3</v>
      </c>
      <c r="B12" s="11" t="s">
        <v>403</v>
      </c>
      <c r="C12" s="4" t="s">
        <v>404</v>
      </c>
      <c r="D12" s="4" t="s">
        <v>405</v>
      </c>
    </row>
    <row r="13" customFormat="false" ht="33.75" hidden="false" customHeight="true" outlineLevel="0" collapsed="false">
      <c r="A13" s="20" t="n">
        <v>4</v>
      </c>
      <c r="B13" s="20" t="s">
        <v>406</v>
      </c>
      <c r="C13" s="21" t="s">
        <v>407</v>
      </c>
      <c r="D13" s="21" t="s">
        <v>408</v>
      </c>
    </row>
    <row r="14" customFormat="false" ht="33.75" hidden="false" customHeight="true" outlineLevel="0" collapsed="false">
      <c r="A14" s="11" t="n">
        <v>4</v>
      </c>
      <c r="B14" s="11" t="s">
        <v>409</v>
      </c>
      <c r="C14" s="4" t="s">
        <v>410</v>
      </c>
      <c r="D14" s="4" t="s">
        <v>411</v>
      </c>
    </row>
    <row r="15" customFormat="false" ht="33.75" hidden="false" customHeight="true" outlineLevel="0" collapsed="false">
      <c r="A15" s="20" t="n">
        <v>4</v>
      </c>
      <c r="B15" s="20" t="s">
        <v>412</v>
      </c>
      <c r="C15" s="21" t="s">
        <v>413</v>
      </c>
      <c r="D15" s="21" t="s">
        <v>414</v>
      </c>
    </row>
    <row r="16" customFormat="false" ht="33.75" hidden="false" customHeight="true" outlineLevel="0" collapsed="false">
      <c r="A16" s="11" t="n">
        <v>5</v>
      </c>
      <c r="B16" s="11" t="s">
        <v>169</v>
      </c>
      <c r="C16" s="4" t="s">
        <v>415</v>
      </c>
      <c r="D16" s="4" t="s">
        <v>416</v>
      </c>
    </row>
    <row r="17" customFormat="false" ht="33.75" hidden="false" customHeight="true" outlineLevel="0" collapsed="false">
      <c r="A17" s="20" t="n">
        <v>5</v>
      </c>
      <c r="B17" s="20" t="s">
        <v>417</v>
      </c>
      <c r="C17" s="21" t="s">
        <v>418</v>
      </c>
      <c r="D17" s="21" t="s">
        <v>419</v>
      </c>
    </row>
    <row r="18" customFormat="false" ht="33.75" hidden="false" customHeight="true" outlineLevel="0" collapsed="false">
      <c r="A18" s="11" t="n">
        <v>7</v>
      </c>
      <c r="B18" s="11" t="s">
        <v>420</v>
      </c>
      <c r="C18" s="4" t="s">
        <v>421</v>
      </c>
      <c r="D18" s="4" t="s">
        <v>422</v>
      </c>
    </row>
    <row r="19" customFormat="false" ht="33.75" hidden="false" customHeight="true" outlineLevel="0" collapsed="false">
      <c r="A19" s="20" t="n">
        <v>7</v>
      </c>
      <c r="B19" s="20" t="s">
        <v>423</v>
      </c>
      <c r="C19" s="21" t="s">
        <v>424</v>
      </c>
      <c r="D19" s="21" t="s">
        <v>425</v>
      </c>
    </row>
    <row r="20" customFormat="false" ht="33.75" hidden="false" customHeight="true" outlineLevel="0" collapsed="false">
      <c r="A20" s="11" t="n">
        <v>7</v>
      </c>
      <c r="B20" s="11" t="s">
        <v>426</v>
      </c>
      <c r="C20" s="4" t="s">
        <v>427</v>
      </c>
      <c r="D20" s="4" t="s">
        <v>428</v>
      </c>
    </row>
    <row r="21" customFormat="false" ht="33.75" hidden="false" customHeight="true" outlineLevel="0" collapsed="false">
      <c r="A21" s="20" t="n">
        <v>13</v>
      </c>
      <c r="B21" s="20" t="s">
        <v>429</v>
      </c>
      <c r="C21" s="21" t="s">
        <v>430</v>
      </c>
      <c r="D21" s="21" t="s">
        <v>431</v>
      </c>
    </row>
    <row r="24" customFormat="false" ht="27.75" hidden="false" customHeight="true" outlineLevel="0" collapsed="false">
      <c r="A24" s="25" t="s">
        <v>432</v>
      </c>
      <c r="B24" s="25"/>
      <c r="C24" s="25"/>
      <c r="D24" s="25"/>
    </row>
  </sheetData>
  <autoFilter ref="A3:D21"/>
  <mergeCells count="2">
    <mergeCell ref="A1:D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4" min="3" style="0" width="20"/>
  </cols>
  <sheetData>
    <row r="1" customFormat="false" ht="30" hidden="false" customHeight="true" outlineLevel="0" collapsed="false">
      <c r="A1" s="1" t="s">
        <v>433</v>
      </c>
      <c r="B1" s="1"/>
      <c r="C1" s="1"/>
      <c r="D1" s="1"/>
    </row>
    <row r="2" customFormat="false" ht="15.75" hidden="false" customHeight="true" outlineLevel="0" collapsed="false">
      <c r="A2" s="2" t="s">
        <v>434</v>
      </c>
      <c r="B2" s="2"/>
      <c r="C2" s="2"/>
      <c r="D2" s="2"/>
    </row>
    <row r="3" customFormat="false" ht="30" hidden="false" customHeight="true" outlineLevel="0" collapsed="false">
      <c r="A3" s="9" t="s">
        <v>435</v>
      </c>
      <c r="B3" s="9" t="s">
        <v>436</v>
      </c>
      <c r="C3" s="9" t="s">
        <v>437</v>
      </c>
      <c r="D3" s="9" t="s">
        <v>438</v>
      </c>
    </row>
    <row r="4" customFormat="false" ht="33.75" hidden="false" customHeight="true" outlineLevel="0" collapsed="false">
      <c r="A4" s="11" t="s">
        <v>439</v>
      </c>
      <c r="B4" s="4" t="s">
        <v>440</v>
      </c>
      <c r="C4" s="11" t="s">
        <v>441</v>
      </c>
      <c r="D4" s="11" t="s">
        <v>442</v>
      </c>
    </row>
    <row r="5" customFormat="false" ht="33.75" hidden="false" customHeight="true" outlineLevel="0" collapsed="false">
      <c r="A5" s="20" t="s">
        <v>443</v>
      </c>
      <c r="B5" s="21" t="s">
        <v>444</v>
      </c>
      <c r="C5" s="20" t="s">
        <v>441</v>
      </c>
      <c r="D5" s="20" t="s">
        <v>445</v>
      </c>
    </row>
    <row r="6" customFormat="false" ht="33.75" hidden="false" customHeight="true" outlineLevel="0" collapsed="false">
      <c r="A6" s="11" t="s">
        <v>446</v>
      </c>
      <c r="B6" s="4" t="s">
        <v>447</v>
      </c>
      <c r="C6" s="11" t="s">
        <v>448</v>
      </c>
      <c r="D6" s="11" t="s">
        <v>449</v>
      </c>
    </row>
    <row r="7" customFormat="false" ht="33.75" hidden="false" customHeight="true" outlineLevel="0" collapsed="false">
      <c r="A7" s="20" t="s">
        <v>450</v>
      </c>
      <c r="B7" s="21" t="s">
        <v>451</v>
      </c>
      <c r="C7" s="20" t="s">
        <v>452</v>
      </c>
      <c r="D7" s="20" t="s">
        <v>449</v>
      </c>
    </row>
    <row r="8" customFormat="false" ht="33.75" hidden="false" customHeight="true" outlineLevel="0" collapsed="false">
      <c r="A8" s="11" t="s">
        <v>453</v>
      </c>
      <c r="B8" s="4" t="s">
        <v>454</v>
      </c>
      <c r="C8" s="11" t="s">
        <v>455</v>
      </c>
      <c r="D8" s="11" t="s">
        <v>456</v>
      </c>
    </row>
    <row r="9" customFormat="false" ht="33.75" hidden="false" customHeight="true" outlineLevel="0" collapsed="false">
      <c r="A9" s="20" t="s">
        <v>457</v>
      </c>
      <c r="B9" s="21" t="s">
        <v>458</v>
      </c>
      <c r="C9" s="20" t="s">
        <v>459</v>
      </c>
      <c r="D9" s="20" t="s">
        <v>442</v>
      </c>
    </row>
    <row r="10" customFormat="false" ht="33.75" hidden="false" customHeight="true" outlineLevel="0" collapsed="false">
      <c r="A10" s="11" t="s">
        <v>460</v>
      </c>
      <c r="B10" s="4" t="s">
        <v>461</v>
      </c>
      <c r="C10" s="11" t="s">
        <v>462</v>
      </c>
      <c r="D10" s="11" t="s">
        <v>463</v>
      </c>
    </row>
    <row r="11" customFormat="false" ht="33.75" hidden="false" customHeight="true" outlineLevel="0" collapsed="false">
      <c r="A11" s="20" t="s">
        <v>464</v>
      </c>
      <c r="B11" s="21" t="s">
        <v>465</v>
      </c>
      <c r="C11" s="20" t="s">
        <v>466</v>
      </c>
      <c r="D11" s="20" t="s">
        <v>442</v>
      </c>
    </row>
    <row r="12" customFormat="false" ht="33.75" hidden="false" customHeight="true" outlineLevel="0" collapsed="false">
      <c r="A12" s="11" t="s">
        <v>467</v>
      </c>
      <c r="B12" s="4" t="s">
        <v>468</v>
      </c>
      <c r="C12" s="11" t="s">
        <v>469</v>
      </c>
      <c r="D12" s="11" t="s">
        <v>470</v>
      </c>
    </row>
  </sheetData>
  <autoFilter ref="A3:D12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471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472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9" t="s">
        <v>473</v>
      </c>
      <c r="B3" s="9" t="s">
        <v>474</v>
      </c>
      <c r="C3" s="9" t="s">
        <v>32</v>
      </c>
      <c r="D3" s="9" t="s">
        <v>475</v>
      </c>
      <c r="E3" s="9" t="s">
        <v>476</v>
      </c>
      <c r="F3" s="9" t="s">
        <v>477</v>
      </c>
      <c r="G3" s="9" t="s">
        <v>478</v>
      </c>
      <c r="H3" s="9" t="s">
        <v>479</v>
      </c>
      <c r="I3" s="9" t="s">
        <v>36</v>
      </c>
    </row>
    <row r="4" customFormat="false" ht="39.75" hidden="false" customHeight="true" outlineLevel="0" collapsed="false">
      <c r="A4" s="11" t="s">
        <v>480</v>
      </c>
      <c r="B4" s="4" t="s">
        <v>481</v>
      </c>
      <c r="C4" s="11" t="s">
        <v>482</v>
      </c>
      <c r="D4" s="11" t="n">
        <v>4</v>
      </c>
      <c r="E4" s="11" t="n">
        <v>4</v>
      </c>
      <c r="F4" s="26" t="n">
        <f aca="false">D4*E4</f>
        <v>16</v>
      </c>
      <c r="G4" s="4" t="s">
        <v>483</v>
      </c>
      <c r="H4" s="11" t="s">
        <v>484</v>
      </c>
      <c r="I4" s="11" t="s">
        <v>485</v>
      </c>
    </row>
    <row r="5" customFormat="false" ht="39.75" hidden="false" customHeight="true" outlineLevel="0" collapsed="false">
      <c r="A5" s="11" t="s">
        <v>486</v>
      </c>
      <c r="B5" s="4" t="s">
        <v>487</v>
      </c>
      <c r="C5" s="11" t="s">
        <v>488</v>
      </c>
      <c r="D5" s="11" t="n">
        <v>4</v>
      </c>
      <c r="E5" s="11" t="n">
        <v>3</v>
      </c>
      <c r="F5" s="26" t="n">
        <f aca="false">D5*E5</f>
        <v>12</v>
      </c>
      <c r="G5" s="4" t="s">
        <v>489</v>
      </c>
      <c r="H5" s="11" t="s">
        <v>490</v>
      </c>
      <c r="I5" s="11" t="s">
        <v>485</v>
      </c>
    </row>
    <row r="6" customFormat="false" ht="39.75" hidden="false" customHeight="true" outlineLevel="0" collapsed="false">
      <c r="A6" s="11" t="s">
        <v>491</v>
      </c>
      <c r="B6" s="4" t="s">
        <v>492</v>
      </c>
      <c r="C6" s="11" t="s">
        <v>493</v>
      </c>
      <c r="D6" s="11" t="n">
        <v>3</v>
      </c>
      <c r="E6" s="11" t="n">
        <v>3</v>
      </c>
      <c r="F6" s="26" t="n">
        <f aca="false">D6*E6</f>
        <v>9</v>
      </c>
      <c r="G6" s="4" t="s">
        <v>494</v>
      </c>
      <c r="H6" s="11" t="s">
        <v>495</v>
      </c>
      <c r="I6" s="11" t="s">
        <v>485</v>
      </c>
    </row>
    <row r="7" customFormat="false" ht="39.75" hidden="false" customHeight="true" outlineLevel="0" collapsed="false">
      <c r="A7" s="11" t="s">
        <v>496</v>
      </c>
      <c r="B7" s="4" t="s">
        <v>497</v>
      </c>
      <c r="C7" s="11" t="s">
        <v>482</v>
      </c>
      <c r="D7" s="11" t="n">
        <v>3</v>
      </c>
      <c r="E7" s="11" t="n">
        <v>3</v>
      </c>
      <c r="F7" s="26" t="n">
        <f aca="false">D7*E7</f>
        <v>9</v>
      </c>
      <c r="G7" s="4" t="s">
        <v>498</v>
      </c>
      <c r="H7" s="11" t="s">
        <v>484</v>
      </c>
      <c r="I7" s="11" t="s">
        <v>485</v>
      </c>
    </row>
    <row r="8" customFormat="false" ht="39.75" hidden="false" customHeight="true" outlineLevel="0" collapsed="false">
      <c r="A8" s="11" t="s">
        <v>499</v>
      </c>
      <c r="B8" s="4" t="s">
        <v>500</v>
      </c>
      <c r="C8" s="11" t="s">
        <v>338</v>
      </c>
      <c r="D8" s="11" t="n">
        <v>3</v>
      </c>
      <c r="E8" s="11" t="n">
        <v>5</v>
      </c>
      <c r="F8" s="26" t="n">
        <f aca="false">D8*E8</f>
        <v>15</v>
      </c>
      <c r="G8" s="4" t="s">
        <v>501</v>
      </c>
      <c r="H8" s="11" t="s">
        <v>467</v>
      </c>
      <c r="I8" s="11" t="s">
        <v>485</v>
      </c>
    </row>
    <row r="9" customFormat="false" ht="39.75" hidden="false" customHeight="true" outlineLevel="0" collapsed="false">
      <c r="A9" s="11" t="s">
        <v>502</v>
      </c>
      <c r="B9" s="4" t="s">
        <v>503</v>
      </c>
      <c r="C9" s="11" t="s">
        <v>504</v>
      </c>
      <c r="D9" s="11" t="n">
        <v>4</v>
      </c>
      <c r="E9" s="11" t="n">
        <v>4</v>
      </c>
      <c r="F9" s="26" t="n">
        <f aca="false">D9*E9</f>
        <v>16</v>
      </c>
      <c r="G9" s="4" t="s">
        <v>505</v>
      </c>
      <c r="H9" s="11" t="s">
        <v>345</v>
      </c>
      <c r="I9" s="11" t="s">
        <v>485</v>
      </c>
    </row>
    <row r="10" customFormat="false" ht="39.75" hidden="false" customHeight="true" outlineLevel="0" collapsed="false">
      <c r="A10" s="11" t="s">
        <v>506</v>
      </c>
      <c r="B10" s="4" t="s">
        <v>507</v>
      </c>
      <c r="C10" s="11" t="s">
        <v>482</v>
      </c>
      <c r="D10" s="11" t="n">
        <v>3</v>
      </c>
      <c r="E10" s="11" t="n">
        <v>3</v>
      </c>
      <c r="F10" s="26" t="n">
        <f aca="false">D10*E10</f>
        <v>9</v>
      </c>
      <c r="G10" s="4" t="s">
        <v>508</v>
      </c>
      <c r="H10" s="11" t="s">
        <v>509</v>
      </c>
      <c r="I10" s="11" t="s">
        <v>485</v>
      </c>
    </row>
    <row r="11" customFormat="false" ht="39.75" hidden="false" customHeight="true" outlineLevel="0" collapsed="false">
      <c r="A11" s="11" t="s">
        <v>510</v>
      </c>
      <c r="B11" s="4" t="s">
        <v>511</v>
      </c>
      <c r="C11" s="11" t="s">
        <v>482</v>
      </c>
      <c r="D11" s="11" t="n">
        <v>2</v>
      </c>
      <c r="E11" s="11" t="n">
        <v>4</v>
      </c>
      <c r="F11" s="26" t="n">
        <f aca="false">D11*E11</f>
        <v>8</v>
      </c>
      <c r="G11" s="4" t="s">
        <v>512</v>
      </c>
      <c r="H11" s="11" t="s">
        <v>495</v>
      </c>
      <c r="I11" s="11" t="s">
        <v>485</v>
      </c>
    </row>
  </sheetData>
  <autoFilter ref="A3:I11"/>
  <mergeCells count="2">
    <mergeCell ref="A1:I1"/>
    <mergeCell ref="A2:I2"/>
  </mergeCells>
  <conditionalFormatting sqref="F4:F11">
    <cfRule type="cellIs" priority="2" operator="greaterThanOrEqual" aboveAverage="0" equalAverage="0" bottom="0" percent="0" rank="0" text="" dxfId="8">
      <formula>15</formula>
    </cfRule>
    <cfRule type="cellIs" priority="3" operator="between" aboveAverage="0" equalAverage="0" bottom="0" percent="0" rank="0" text="" dxfId="9">
      <formula>8</formula>
      <formula>14</formula>
    </cfRule>
    <cfRule type="cellIs" priority="4" operator="lessThanOrEqual" aboveAverage="0" equalAverage="0" bottom="0" percent="0" rank="0" text="" dxfId="7">
      <formula>7</formula>
    </cfRule>
  </conditionalFormatting>
  <dataValidations count="1">
    <dataValidation allowBlank="true" errorStyle="stop" operator="between" showDropDown="false" showErrorMessage="false" showInputMessage="false" sqref="I4:I11" type="list">
      <formula1>"Open,Mitigating,Closed,Accepted"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0"/>
  </cols>
  <sheetData>
    <row r="1" customFormat="false" ht="30" hidden="false" customHeight="true" outlineLevel="0" collapsed="false">
      <c r="A1" s="1" t="s">
        <v>513</v>
      </c>
      <c r="B1" s="1"/>
    </row>
    <row r="3" customFormat="false" ht="30" hidden="false" customHeight="true" outlineLevel="0" collapsed="false">
      <c r="A3" s="9" t="s">
        <v>514</v>
      </c>
      <c r="B3" s="9" t="s">
        <v>515</v>
      </c>
    </row>
    <row r="4" customFormat="false" ht="24" hidden="false" customHeight="true" outlineLevel="0" collapsed="false">
      <c r="A4" s="4" t="s">
        <v>516</v>
      </c>
      <c r="B4" s="27" t="s">
        <v>517</v>
      </c>
    </row>
    <row r="5" customFormat="false" ht="24" hidden="false" customHeight="true" outlineLevel="0" collapsed="false">
      <c r="A5" s="21" t="s">
        <v>518</v>
      </c>
      <c r="B5" s="28" t="s">
        <v>519</v>
      </c>
    </row>
    <row r="6" customFormat="false" ht="24" hidden="false" customHeight="true" outlineLevel="0" collapsed="false">
      <c r="A6" s="4" t="s">
        <v>520</v>
      </c>
      <c r="B6" s="27" t="s">
        <v>56</v>
      </c>
    </row>
    <row r="7" customFormat="false" ht="24" hidden="false" customHeight="true" outlineLevel="0" collapsed="false">
      <c r="A7" s="21" t="s">
        <v>521</v>
      </c>
      <c r="B7" s="28" t="s">
        <v>59</v>
      </c>
    </row>
    <row r="8" customFormat="false" ht="24" hidden="false" customHeight="true" outlineLevel="0" collapsed="false">
      <c r="A8" s="4" t="s">
        <v>522</v>
      </c>
      <c r="B8" s="27" t="s">
        <v>53</v>
      </c>
    </row>
    <row r="9" customFormat="false" ht="24" hidden="false" customHeight="true" outlineLevel="0" collapsed="false">
      <c r="A9" s="21" t="s">
        <v>523</v>
      </c>
      <c r="B9" s="28" t="s">
        <v>517</v>
      </c>
    </row>
    <row r="10" customFormat="false" ht="24" hidden="false" customHeight="true" outlineLevel="0" collapsed="false">
      <c r="A10" s="4" t="s">
        <v>524</v>
      </c>
      <c r="B10" s="27" t="s">
        <v>517</v>
      </c>
    </row>
    <row r="11" customFormat="false" ht="24" hidden="false" customHeight="true" outlineLevel="0" collapsed="false">
      <c r="A11" s="21" t="s">
        <v>525</v>
      </c>
      <c r="B11" s="28" t="s">
        <v>517</v>
      </c>
    </row>
    <row r="12" customFormat="false" ht="24" hidden="false" customHeight="true" outlineLevel="0" collapsed="false">
      <c r="A12" s="4" t="s">
        <v>526</v>
      </c>
      <c r="B12" s="27" t="s">
        <v>527</v>
      </c>
    </row>
    <row r="13" customFormat="false" ht="24" hidden="false" customHeight="true" outlineLevel="0" collapsed="false">
      <c r="A13" s="21" t="s">
        <v>528</v>
      </c>
      <c r="B13" s="28" t="s">
        <v>517</v>
      </c>
    </row>
    <row r="14" customFormat="false" ht="24" hidden="false" customHeight="true" outlineLevel="0" collapsed="false">
      <c r="A14" s="4" t="s">
        <v>529</v>
      </c>
      <c r="B14" s="27" t="s">
        <v>517</v>
      </c>
    </row>
    <row r="15" customFormat="false" ht="24" hidden="false" customHeight="true" outlineLevel="0" collapsed="false">
      <c r="A15" s="21" t="s">
        <v>530</v>
      </c>
      <c r="B15" s="28" t="s">
        <v>517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5"/>
  </cols>
  <sheetData>
    <row r="1" customFormat="false" ht="30" hidden="false" customHeight="true" outlineLevel="0" collapsed="false">
      <c r="A1" s="1" t="s">
        <v>531</v>
      </c>
      <c r="B1" s="1"/>
      <c r="C1" s="1"/>
    </row>
    <row r="2" customFormat="false" ht="15.75" hidden="false" customHeight="true" outlineLevel="0" collapsed="false">
      <c r="A2" s="2" t="s">
        <v>532</v>
      </c>
      <c r="B2" s="2"/>
      <c r="C2" s="2"/>
    </row>
    <row r="3" customFormat="false" ht="30" hidden="false" customHeight="true" outlineLevel="0" collapsed="false">
      <c r="A3" s="9" t="s">
        <v>533</v>
      </c>
      <c r="B3" s="9" t="s">
        <v>534</v>
      </c>
      <c r="C3" s="9" t="s">
        <v>535</v>
      </c>
    </row>
    <row r="4" customFormat="false" ht="30" hidden="false" customHeight="true" outlineLevel="0" collapsed="false">
      <c r="A4" s="11" t="n">
        <v>1</v>
      </c>
      <c r="B4" s="29" t="s">
        <v>536</v>
      </c>
      <c r="C4" s="4" t="s">
        <v>537</v>
      </c>
    </row>
    <row r="5" customFormat="false" ht="30" hidden="false" customHeight="true" outlineLevel="0" collapsed="false">
      <c r="A5" s="20" t="n">
        <v>2</v>
      </c>
      <c r="B5" s="30" t="s">
        <v>538</v>
      </c>
      <c r="C5" s="21" t="s">
        <v>539</v>
      </c>
    </row>
    <row r="6" customFormat="false" ht="30" hidden="false" customHeight="true" outlineLevel="0" collapsed="false">
      <c r="A6" s="11" t="n">
        <v>3</v>
      </c>
      <c r="B6" s="29" t="s">
        <v>540</v>
      </c>
      <c r="C6" s="4" t="s">
        <v>541</v>
      </c>
    </row>
    <row r="7" customFormat="false" ht="30" hidden="false" customHeight="true" outlineLevel="0" collapsed="false">
      <c r="A7" s="20" t="n">
        <v>4</v>
      </c>
      <c r="B7" s="30" t="s">
        <v>542</v>
      </c>
      <c r="C7" s="21" t="s">
        <v>543</v>
      </c>
    </row>
    <row r="8" customFormat="false" ht="30" hidden="false" customHeight="true" outlineLevel="0" collapsed="false">
      <c r="A8" s="11" t="n">
        <v>5</v>
      </c>
      <c r="B8" s="29" t="s">
        <v>544</v>
      </c>
      <c r="C8" s="4" t="s">
        <v>545</v>
      </c>
    </row>
    <row r="9" customFormat="false" ht="30" hidden="false" customHeight="true" outlineLevel="0" collapsed="false">
      <c r="A9" s="20" t="n">
        <v>6</v>
      </c>
      <c r="B9" s="30" t="s">
        <v>546</v>
      </c>
      <c r="C9" s="21" t="s">
        <v>547</v>
      </c>
    </row>
    <row r="10" customFormat="false" ht="30" hidden="false" customHeight="true" outlineLevel="0" collapsed="false">
      <c r="A10" s="11" t="n">
        <v>7</v>
      </c>
      <c r="B10" s="29" t="s">
        <v>548</v>
      </c>
      <c r="C10" s="4" t="s">
        <v>549</v>
      </c>
    </row>
    <row r="11" customFormat="false" ht="30" hidden="false" customHeight="true" outlineLevel="0" collapsed="false">
      <c r="A11" s="20" t="n">
        <v>8</v>
      </c>
      <c r="B11" s="30" t="s">
        <v>550</v>
      </c>
      <c r="C11" s="21" t="s">
        <v>551</v>
      </c>
    </row>
    <row r="12" customFormat="false" ht="30" hidden="false" customHeight="true" outlineLevel="0" collapsed="false">
      <c r="A12" s="11" t="n">
        <v>9</v>
      </c>
      <c r="B12" s="29" t="s">
        <v>552</v>
      </c>
      <c r="C12" s="4" t="s">
        <v>553</v>
      </c>
    </row>
    <row r="13" customFormat="false" ht="30" hidden="false" customHeight="true" outlineLevel="0" collapsed="false">
      <c r="A13" s="20" t="n">
        <v>10</v>
      </c>
      <c r="B13" s="30" t="s">
        <v>554</v>
      </c>
      <c r="C13" s="21" t="s">
        <v>555</v>
      </c>
    </row>
    <row r="14" customFormat="false" ht="30" hidden="false" customHeight="true" outlineLevel="0" collapsed="false">
      <c r="A14" s="11" t="n">
        <v>11</v>
      </c>
      <c r="B14" s="29" t="s">
        <v>556</v>
      </c>
      <c r="C14" s="4" t="s">
        <v>557</v>
      </c>
    </row>
    <row r="15" customFormat="false" ht="30" hidden="false" customHeight="true" outlineLevel="0" collapsed="false">
      <c r="A15" s="20" t="n">
        <v>12</v>
      </c>
      <c r="B15" s="30" t="s">
        <v>558</v>
      </c>
      <c r="C15" s="21" t="s">
        <v>559</v>
      </c>
    </row>
    <row r="16" customFormat="false" ht="30" hidden="false" customHeight="true" outlineLevel="0" collapsed="false">
      <c r="A16" s="11" t="n">
        <v>13</v>
      </c>
      <c r="B16" s="29" t="s">
        <v>560</v>
      </c>
      <c r="C16" s="4" t="s">
        <v>561</v>
      </c>
    </row>
    <row r="17" customFormat="false" ht="30" hidden="false" customHeight="true" outlineLevel="0" collapsed="false">
      <c r="A17" s="20" t="n">
        <v>14</v>
      </c>
      <c r="B17" s="30" t="s">
        <v>562</v>
      </c>
      <c r="C17" s="21" t="s">
        <v>563</v>
      </c>
    </row>
    <row r="18" customFormat="false" ht="30" hidden="false" customHeight="true" outlineLevel="0" collapsed="false">
      <c r="A18" s="11" t="n">
        <v>15</v>
      </c>
      <c r="B18" s="29" t="s">
        <v>564</v>
      </c>
      <c r="C18" s="4" t="s">
        <v>565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2026-08-13T05:46:16Z</dcterms:created>
  <dc:creator>openpyxl</dc:creator>
  <dc:description/>
  <dc:language>en-US</dc:language>
  <cp:lastModifiedBy/>
  <dcterms:modified xsi:type="dcterms:W3CDTF">2026-08-13T05:46:16Z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